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thon work\school_management_by_sumayya\"/>
    </mc:Choice>
  </mc:AlternateContent>
  <xr:revisionPtr revIDLastSave="0" documentId="13_ncr:1_{F30FD7D3-7FAF-4A51-B908-223B015F3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adeIII" sheetId="1" r:id="rId1"/>
    <sheet name="GradeIV" sheetId="2" r:id="rId2"/>
    <sheet name="GradeV" sheetId="3" r:id="rId3"/>
    <sheet name="GradeV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4" l="1"/>
  <c r="L27" i="4"/>
  <c r="K27" i="4"/>
  <c r="J27" i="4"/>
  <c r="I27" i="4"/>
  <c r="H27" i="4"/>
  <c r="G27" i="4"/>
  <c r="F27" i="4"/>
  <c r="M26" i="4"/>
  <c r="L26" i="4"/>
  <c r="K26" i="4"/>
  <c r="J26" i="4"/>
  <c r="I26" i="4"/>
  <c r="H26" i="4"/>
  <c r="G26" i="4"/>
  <c r="F26" i="4"/>
  <c r="M25" i="4"/>
  <c r="L25" i="4"/>
  <c r="K25" i="4"/>
  <c r="J25" i="4"/>
  <c r="I25" i="4"/>
  <c r="H25" i="4"/>
  <c r="G25" i="4"/>
  <c r="F25" i="4"/>
  <c r="M24" i="4"/>
  <c r="L24" i="4"/>
  <c r="K24" i="4"/>
  <c r="J24" i="4"/>
  <c r="I24" i="4"/>
  <c r="H24" i="4"/>
  <c r="G24" i="4"/>
  <c r="F24" i="4"/>
  <c r="M23" i="4"/>
  <c r="L23" i="4"/>
  <c r="K23" i="4"/>
  <c r="J23" i="4"/>
  <c r="I23" i="4"/>
  <c r="H23" i="4"/>
  <c r="G23" i="4"/>
  <c r="F23" i="4"/>
  <c r="M22" i="4"/>
  <c r="L22" i="4"/>
  <c r="K22" i="4"/>
  <c r="J22" i="4"/>
  <c r="I22" i="4"/>
  <c r="H22" i="4"/>
  <c r="G22" i="4"/>
  <c r="F22" i="4"/>
  <c r="M21" i="4"/>
  <c r="L21" i="4"/>
  <c r="K21" i="4"/>
  <c r="J21" i="4"/>
  <c r="I21" i="4"/>
  <c r="H21" i="4"/>
  <c r="G21" i="4"/>
  <c r="F21" i="4"/>
  <c r="M20" i="4"/>
  <c r="L20" i="4"/>
  <c r="K20" i="4"/>
  <c r="J20" i="4"/>
  <c r="I20" i="4"/>
  <c r="H20" i="4"/>
  <c r="G20" i="4"/>
  <c r="F20" i="4"/>
  <c r="M19" i="4"/>
  <c r="L19" i="4"/>
  <c r="K19" i="4"/>
  <c r="J19" i="4"/>
  <c r="I19" i="4"/>
  <c r="H19" i="4"/>
  <c r="G19" i="4"/>
  <c r="F19" i="4"/>
  <c r="M18" i="4"/>
  <c r="L18" i="4"/>
  <c r="K18" i="4"/>
  <c r="J18" i="4"/>
  <c r="I18" i="4"/>
  <c r="H18" i="4"/>
  <c r="G18" i="4"/>
  <c r="F18" i="4"/>
  <c r="M17" i="4"/>
  <c r="L17" i="4"/>
  <c r="K17" i="4"/>
  <c r="J17" i="4"/>
  <c r="I17" i="4"/>
  <c r="H17" i="4"/>
  <c r="G17" i="4"/>
  <c r="F17" i="4"/>
  <c r="M16" i="4"/>
  <c r="L16" i="4"/>
  <c r="K16" i="4"/>
  <c r="J16" i="4"/>
  <c r="I16" i="4"/>
  <c r="H16" i="4"/>
  <c r="G16" i="4"/>
  <c r="F16" i="4"/>
  <c r="M15" i="4"/>
  <c r="L15" i="4"/>
  <c r="K15" i="4"/>
  <c r="J15" i="4"/>
  <c r="I15" i="4"/>
  <c r="H15" i="4"/>
  <c r="G15" i="4"/>
  <c r="F15" i="4"/>
  <c r="M14" i="4"/>
  <c r="L14" i="4"/>
  <c r="K14" i="4"/>
  <c r="J14" i="4"/>
  <c r="I14" i="4"/>
  <c r="H14" i="4"/>
  <c r="G14" i="4"/>
  <c r="F14" i="4"/>
  <c r="M13" i="4"/>
  <c r="L13" i="4"/>
  <c r="K13" i="4"/>
  <c r="J13" i="4"/>
  <c r="I13" i="4"/>
  <c r="H13" i="4"/>
  <c r="G13" i="4"/>
  <c r="F13" i="4"/>
  <c r="M12" i="4"/>
  <c r="L12" i="4"/>
  <c r="K12" i="4"/>
  <c r="J12" i="4"/>
  <c r="I12" i="4"/>
  <c r="H12" i="4"/>
  <c r="G12" i="4"/>
  <c r="F12" i="4"/>
  <c r="M11" i="4"/>
  <c r="L11" i="4"/>
  <c r="K11" i="4"/>
  <c r="J11" i="4"/>
  <c r="I11" i="4"/>
  <c r="H11" i="4"/>
  <c r="G11" i="4"/>
  <c r="F11" i="4"/>
  <c r="M10" i="4"/>
  <c r="L10" i="4"/>
  <c r="K10" i="4"/>
  <c r="J10" i="4"/>
  <c r="I10" i="4"/>
  <c r="H10" i="4"/>
  <c r="G10" i="4"/>
  <c r="F10" i="4"/>
  <c r="M9" i="4"/>
  <c r="L9" i="4"/>
  <c r="K9" i="4"/>
  <c r="J9" i="4"/>
  <c r="I9" i="4"/>
  <c r="H9" i="4"/>
  <c r="G9" i="4"/>
  <c r="F9" i="4"/>
  <c r="M8" i="4"/>
  <c r="L8" i="4"/>
  <c r="K8" i="4"/>
  <c r="J8" i="4"/>
  <c r="I8" i="4"/>
  <c r="H8" i="4"/>
  <c r="G8" i="4"/>
  <c r="F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M27" i="3"/>
  <c r="L27" i="3"/>
  <c r="K27" i="3"/>
  <c r="J27" i="3"/>
  <c r="I27" i="3"/>
  <c r="H27" i="3"/>
  <c r="G27" i="3"/>
  <c r="F27" i="3"/>
  <c r="M26" i="3"/>
  <c r="L26" i="3"/>
  <c r="K26" i="3"/>
  <c r="J26" i="3"/>
  <c r="I26" i="3"/>
  <c r="H26" i="3"/>
  <c r="G26" i="3"/>
  <c r="F26" i="3"/>
  <c r="M25" i="3"/>
  <c r="L25" i="3"/>
  <c r="K25" i="3"/>
  <c r="J25" i="3"/>
  <c r="I25" i="3"/>
  <c r="H25" i="3"/>
  <c r="G25" i="3"/>
  <c r="F25" i="3"/>
  <c r="M24" i="3"/>
  <c r="L24" i="3"/>
  <c r="K24" i="3"/>
  <c r="J24" i="3"/>
  <c r="I24" i="3"/>
  <c r="H24" i="3"/>
  <c r="G24" i="3"/>
  <c r="F24" i="3"/>
  <c r="M23" i="3"/>
  <c r="L23" i="3"/>
  <c r="K23" i="3"/>
  <c r="J23" i="3"/>
  <c r="I23" i="3"/>
  <c r="H23" i="3"/>
  <c r="G23" i="3"/>
  <c r="F23" i="3"/>
  <c r="M22" i="3"/>
  <c r="L22" i="3"/>
  <c r="K22" i="3"/>
  <c r="J22" i="3"/>
  <c r="I22" i="3"/>
  <c r="H22" i="3"/>
  <c r="G22" i="3"/>
  <c r="F22" i="3"/>
  <c r="M21" i="3"/>
  <c r="L21" i="3"/>
  <c r="K21" i="3"/>
  <c r="J21" i="3"/>
  <c r="I21" i="3"/>
  <c r="H21" i="3"/>
  <c r="G21" i="3"/>
  <c r="F21" i="3"/>
  <c r="M20" i="3"/>
  <c r="L20" i="3"/>
  <c r="K20" i="3"/>
  <c r="J20" i="3"/>
  <c r="I20" i="3"/>
  <c r="H20" i="3"/>
  <c r="G20" i="3"/>
  <c r="F20" i="3"/>
  <c r="M19" i="3"/>
  <c r="L19" i="3"/>
  <c r="K19" i="3"/>
  <c r="J19" i="3"/>
  <c r="I19" i="3"/>
  <c r="H19" i="3"/>
  <c r="G19" i="3"/>
  <c r="F19" i="3"/>
  <c r="M18" i="3"/>
  <c r="L18" i="3"/>
  <c r="K18" i="3"/>
  <c r="J18" i="3"/>
  <c r="I18" i="3"/>
  <c r="H18" i="3"/>
  <c r="G18" i="3"/>
  <c r="F18" i="3"/>
  <c r="M17" i="3"/>
  <c r="L17" i="3"/>
  <c r="K17" i="3"/>
  <c r="J17" i="3"/>
  <c r="I17" i="3"/>
  <c r="H17" i="3"/>
  <c r="G17" i="3"/>
  <c r="F17" i="3"/>
  <c r="M16" i="3"/>
  <c r="L16" i="3"/>
  <c r="K16" i="3"/>
  <c r="J16" i="3"/>
  <c r="I16" i="3"/>
  <c r="H16" i="3"/>
  <c r="G16" i="3"/>
  <c r="F16" i="3"/>
  <c r="M15" i="3"/>
  <c r="L15" i="3"/>
  <c r="K15" i="3"/>
  <c r="J15" i="3"/>
  <c r="I15" i="3"/>
  <c r="H15" i="3"/>
  <c r="G15" i="3"/>
  <c r="F15" i="3"/>
  <c r="M14" i="3"/>
  <c r="L14" i="3"/>
  <c r="K14" i="3"/>
  <c r="J14" i="3"/>
  <c r="I14" i="3"/>
  <c r="H14" i="3"/>
  <c r="G14" i="3"/>
  <c r="F14" i="3"/>
  <c r="M13" i="3"/>
  <c r="L13" i="3"/>
  <c r="K13" i="3"/>
  <c r="J13" i="3"/>
  <c r="I13" i="3"/>
  <c r="H13" i="3"/>
  <c r="G13" i="3"/>
  <c r="F13" i="3"/>
  <c r="M12" i="3"/>
  <c r="L12" i="3"/>
  <c r="K12" i="3"/>
  <c r="J12" i="3"/>
  <c r="I12" i="3"/>
  <c r="H12" i="3"/>
  <c r="G12" i="3"/>
  <c r="F12" i="3"/>
  <c r="M11" i="3"/>
  <c r="L11" i="3"/>
  <c r="K11" i="3"/>
  <c r="J11" i="3"/>
  <c r="I11" i="3"/>
  <c r="H11" i="3"/>
  <c r="G11" i="3"/>
  <c r="F11" i="3"/>
  <c r="M10" i="3"/>
  <c r="L10" i="3"/>
  <c r="K10" i="3"/>
  <c r="J10" i="3"/>
  <c r="I10" i="3"/>
  <c r="H10" i="3"/>
  <c r="G10" i="3"/>
  <c r="F10" i="3"/>
  <c r="M9" i="3"/>
  <c r="L9" i="3"/>
  <c r="K9" i="3"/>
  <c r="J9" i="3"/>
  <c r="I9" i="3"/>
  <c r="H9" i="3"/>
  <c r="G9" i="3"/>
  <c r="F9" i="3"/>
  <c r="M8" i="3"/>
  <c r="L8" i="3"/>
  <c r="K8" i="3"/>
  <c r="J8" i="3"/>
  <c r="I8" i="3"/>
  <c r="H8" i="3"/>
  <c r="G8" i="3"/>
  <c r="F8" i="3"/>
  <c r="E8" i="3"/>
  <c r="E9" i="3"/>
  <c r="E10" i="3"/>
  <c r="E11" i="3"/>
  <c r="E12" i="3"/>
  <c r="E13" i="3"/>
  <c r="E14" i="3"/>
  <c r="E15" i="3"/>
  <c r="E16" i="3"/>
  <c r="E17" i="3"/>
  <c r="E27" i="3"/>
  <c r="E26" i="3"/>
  <c r="E25" i="3"/>
  <c r="E24" i="3"/>
  <c r="E23" i="3"/>
  <c r="E22" i="3"/>
  <c r="E21" i="3"/>
  <c r="E20" i="3"/>
  <c r="E19" i="3"/>
  <c r="E18" i="3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N8" i="2"/>
  <c r="E8" i="2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11" i="4" l="1"/>
  <c r="N13" i="4"/>
  <c r="N15" i="4"/>
  <c r="N19" i="4"/>
  <c r="N9" i="4"/>
  <c r="N17" i="4"/>
  <c r="N21" i="4"/>
  <c r="N23" i="4"/>
  <c r="N25" i="4"/>
  <c r="N27" i="4"/>
  <c r="N8" i="4"/>
  <c r="N10" i="4"/>
  <c r="N12" i="4"/>
  <c r="N14" i="4"/>
  <c r="N16" i="4"/>
  <c r="N18" i="4"/>
  <c r="N20" i="4"/>
  <c r="N22" i="4"/>
  <c r="N24" i="4"/>
  <c r="N26" i="4"/>
  <c r="N22" i="3"/>
  <c r="N16" i="3"/>
  <c r="N8" i="3"/>
  <c r="N12" i="3"/>
  <c r="N15" i="3"/>
  <c r="N18" i="3"/>
  <c r="N20" i="3"/>
  <c r="N24" i="3"/>
  <c r="N26" i="3"/>
  <c r="N9" i="3"/>
  <c r="N10" i="3"/>
  <c r="N11" i="3"/>
  <c r="N13" i="3"/>
  <c r="N14" i="3"/>
  <c r="N17" i="3"/>
  <c r="N19" i="3"/>
  <c r="N21" i="3"/>
  <c r="N23" i="3"/>
  <c r="N25" i="3"/>
  <c r="N27" i="3"/>
</calcChain>
</file>

<file path=xl/sharedStrings.xml><?xml version="1.0" encoding="utf-8"?>
<sst xmlns="http://schemas.openxmlformats.org/spreadsheetml/2006/main" count="552" uniqueCount="234">
  <si>
    <t>Std_Name</t>
  </si>
  <si>
    <t>Father_Name</t>
  </si>
  <si>
    <t>Gender</t>
  </si>
  <si>
    <t>Section</t>
  </si>
  <si>
    <t>Eng</t>
  </si>
  <si>
    <t>Urdu</t>
  </si>
  <si>
    <t>Math</t>
  </si>
  <si>
    <t>Science</t>
  </si>
  <si>
    <t>Islamiat</t>
  </si>
  <si>
    <t>Total_Marks</t>
  </si>
  <si>
    <t>Obt_Marks</t>
  </si>
  <si>
    <t>Attendance%</t>
  </si>
  <si>
    <t>Fee_Status</t>
  </si>
  <si>
    <t>Progress</t>
  </si>
  <si>
    <t>Male</t>
  </si>
  <si>
    <t>Paid</t>
  </si>
  <si>
    <t>Computer</t>
  </si>
  <si>
    <t>S.St</t>
  </si>
  <si>
    <t>Sindhi</t>
  </si>
  <si>
    <t>GR.No</t>
  </si>
  <si>
    <t>GR_001</t>
  </si>
  <si>
    <t>GR_002</t>
  </si>
  <si>
    <t>GR_003</t>
  </si>
  <si>
    <t>GR_004</t>
  </si>
  <si>
    <t>GR_005</t>
  </si>
  <si>
    <t>GR_006</t>
  </si>
  <si>
    <t>GR_007</t>
  </si>
  <si>
    <t>GR_008</t>
  </si>
  <si>
    <t>GR_009</t>
  </si>
  <si>
    <t>Sumayya</t>
  </si>
  <si>
    <t>Jawed</t>
  </si>
  <si>
    <t>Female</t>
  </si>
  <si>
    <t>Shahzaib</t>
  </si>
  <si>
    <t>Shoaib</t>
  </si>
  <si>
    <t>Misbah</t>
  </si>
  <si>
    <t>Aleem</t>
  </si>
  <si>
    <t xml:space="preserve">Kainat  </t>
  </si>
  <si>
    <t>jawed</t>
  </si>
  <si>
    <t>Hussain</t>
  </si>
  <si>
    <t>Shakeel</t>
  </si>
  <si>
    <t>Duaa</t>
  </si>
  <si>
    <t>Hamza</t>
  </si>
  <si>
    <t>Uzair</t>
  </si>
  <si>
    <t>Abdul Waris</t>
  </si>
  <si>
    <t>Areesha</t>
  </si>
  <si>
    <t>Areeba</t>
  </si>
  <si>
    <t>Shehla</t>
  </si>
  <si>
    <t>Zakir</t>
  </si>
  <si>
    <t>Zain</t>
  </si>
  <si>
    <t>Abid</t>
  </si>
  <si>
    <t xml:space="preserve">Adil </t>
  </si>
  <si>
    <t>Shahid</t>
  </si>
  <si>
    <t>Jamil</t>
  </si>
  <si>
    <t>Adeel</t>
  </si>
  <si>
    <t>Tabish</t>
  </si>
  <si>
    <t>Sinan</t>
  </si>
  <si>
    <t>Haya Noor</t>
  </si>
  <si>
    <t>Izhaan</t>
  </si>
  <si>
    <t>Nabeel</t>
  </si>
  <si>
    <t>Un Paid</t>
  </si>
  <si>
    <t>Welldone</t>
  </si>
  <si>
    <t>Good</t>
  </si>
  <si>
    <t>Fair</t>
  </si>
  <si>
    <t>GR_0021</t>
  </si>
  <si>
    <t>GR_0022</t>
  </si>
  <si>
    <t>GR_0023</t>
  </si>
  <si>
    <t>GR_0024</t>
  </si>
  <si>
    <t>GR_0025</t>
  </si>
  <si>
    <t>GR_0026</t>
  </si>
  <si>
    <t>GR_0027</t>
  </si>
  <si>
    <t>GR_0028</t>
  </si>
  <si>
    <t>GR_0029</t>
  </si>
  <si>
    <t>GR_0030</t>
  </si>
  <si>
    <t>GR_0031</t>
  </si>
  <si>
    <t>GR_0032</t>
  </si>
  <si>
    <t>GR_0033</t>
  </si>
  <si>
    <t>GR_0034</t>
  </si>
  <si>
    <t>GR_0035</t>
  </si>
  <si>
    <t>GR_0036</t>
  </si>
  <si>
    <t>GR_0037</t>
  </si>
  <si>
    <t>GR_0038</t>
  </si>
  <si>
    <t>GR_0039</t>
  </si>
  <si>
    <t>GR_0040</t>
  </si>
  <si>
    <t>Izwah</t>
  </si>
  <si>
    <t>Bisma</t>
  </si>
  <si>
    <t>Shahrukh</t>
  </si>
  <si>
    <t>Shahzain</t>
  </si>
  <si>
    <t>Talha</t>
  </si>
  <si>
    <t>Saim</t>
  </si>
  <si>
    <t>Mubashhir</t>
  </si>
  <si>
    <t>Khalid</t>
  </si>
  <si>
    <t>Maryam</t>
  </si>
  <si>
    <t>Safa</t>
  </si>
  <si>
    <t>Yasin</t>
  </si>
  <si>
    <t>Fatima</t>
  </si>
  <si>
    <t>Yawar</t>
  </si>
  <si>
    <t>Imran</t>
  </si>
  <si>
    <t>Humna</t>
  </si>
  <si>
    <t>Asif</t>
  </si>
  <si>
    <t>Khan</t>
  </si>
  <si>
    <t>Sania</t>
  </si>
  <si>
    <t xml:space="preserve">Hani </t>
  </si>
  <si>
    <t>Ejaz</t>
  </si>
  <si>
    <t xml:space="preserve">Mustafa </t>
  </si>
  <si>
    <t>Sana</t>
  </si>
  <si>
    <t>yousuf</t>
  </si>
  <si>
    <t>Sadia</t>
  </si>
  <si>
    <t>Khalil</t>
  </si>
  <si>
    <t>Haris</t>
  </si>
  <si>
    <t>Wahab</t>
  </si>
  <si>
    <t>Muavia</t>
  </si>
  <si>
    <t>Ahmed</t>
  </si>
  <si>
    <t>GR_0041</t>
  </si>
  <si>
    <t>GR_0042</t>
  </si>
  <si>
    <t>GR_0043</t>
  </si>
  <si>
    <t>GR_0044</t>
  </si>
  <si>
    <t>GR_0045</t>
  </si>
  <si>
    <t>GR_0046</t>
  </si>
  <si>
    <t>GR_0047</t>
  </si>
  <si>
    <t>GR_0048</t>
  </si>
  <si>
    <t>GR_0049</t>
  </si>
  <si>
    <t>GR_0050</t>
  </si>
  <si>
    <t>GR_0051</t>
  </si>
  <si>
    <t>GR_0052</t>
  </si>
  <si>
    <t>GR_0053</t>
  </si>
  <si>
    <t>GR_0054</t>
  </si>
  <si>
    <t>GR_0055</t>
  </si>
  <si>
    <t>GR_0056</t>
  </si>
  <si>
    <t>GR_0057</t>
  </si>
  <si>
    <t>GR_0058</t>
  </si>
  <si>
    <t>GR_0059</t>
  </si>
  <si>
    <t>GR_0060</t>
  </si>
  <si>
    <t>Hira</t>
  </si>
  <si>
    <t>Hania</t>
  </si>
  <si>
    <t>Saleem</t>
  </si>
  <si>
    <t>Sadiq</t>
  </si>
  <si>
    <t>Salma</t>
  </si>
  <si>
    <t>Amber</t>
  </si>
  <si>
    <t>Ali</t>
  </si>
  <si>
    <t>Sara</t>
  </si>
  <si>
    <t xml:space="preserve">Alia </t>
  </si>
  <si>
    <t>Sumera</t>
  </si>
  <si>
    <t>Ayoub</t>
  </si>
  <si>
    <t>Nadra</t>
  </si>
  <si>
    <t>Wania</t>
  </si>
  <si>
    <t>Fatima Zahra</t>
  </si>
  <si>
    <t>Ayesha Noor</t>
  </si>
  <si>
    <t>Noor Hassan</t>
  </si>
  <si>
    <t>Maryam Tariq</t>
  </si>
  <si>
    <t>Tariq Saleem</t>
  </si>
  <si>
    <t>Areeba Khan</t>
  </si>
  <si>
    <t>Khan Shahid</t>
  </si>
  <si>
    <t>Muhammad</t>
  </si>
  <si>
    <t>Ahmed Ali</t>
  </si>
  <si>
    <t>Muhammad Ali</t>
  </si>
  <si>
    <t>Usman Tariq</t>
  </si>
  <si>
    <t>Tariq Mehmood</t>
  </si>
  <si>
    <t>Hassan Raza</t>
  </si>
  <si>
    <t>Raza Hussain</t>
  </si>
  <si>
    <t>Bilal Khan</t>
  </si>
  <si>
    <t>Imran Khan</t>
  </si>
  <si>
    <t>Faisal Malik</t>
  </si>
  <si>
    <t>Malik Anwar</t>
  </si>
  <si>
    <t>GR_0061</t>
  </si>
  <si>
    <t>GR_0062</t>
  </si>
  <si>
    <t>GR_0063</t>
  </si>
  <si>
    <t>GR_0064</t>
  </si>
  <si>
    <t>GR_0065</t>
  </si>
  <si>
    <t>GR_0066</t>
  </si>
  <si>
    <t>GR_0067</t>
  </si>
  <si>
    <t>GR_0068</t>
  </si>
  <si>
    <t>GR_0069</t>
  </si>
  <si>
    <t>GR_0070</t>
  </si>
  <si>
    <t>GR_0071</t>
  </si>
  <si>
    <t>GR_0072</t>
  </si>
  <si>
    <t>GR_0073</t>
  </si>
  <si>
    <t>GR_0074</t>
  </si>
  <si>
    <t>GR_0075</t>
  </si>
  <si>
    <t>GR_0076</t>
  </si>
  <si>
    <t>GR_0077</t>
  </si>
  <si>
    <t>GR_0078</t>
  </si>
  <si>
    <t>GR_0079</t>
  </si>
  <si>
    <t>GR_0080</t>
  </si>
  <si>
    <t>Siddiqui Jameel</t>
  </si>
  <si>
    <t>Fahad Iqbal</t>
  </si>
  <si>
    <t>Iqbal Saleem</t>
  </si>
  <si>
    <t>Qureshi Waqar</t>
  </si>
  <si>
    <t>Haris Nawaz</t>
  </si>
  <si>
    <t>Nawaz Shabbir</t>
  </si>
  <si>
    <t>Rayyan Baig</t>
  </si>
  <si>
    <t>Baig Pervaiz</t>
  </si>
  <si>
    <t>Junaid Chaudhry</t>
  </si>
  <si>
    <t>Chaudhry Nasir</t>
  </si>
  <si>
    <t>Mujtaba Shah</t>
  </si>
  <si>
    <t>Shah Faisal</t>
  </si>
  <si>
    <t xml:space="preserve">Asad </t>
  </si>
  <si>
    <t xml:space="preserve">Talha </t>
  </si>
  <si>
    <t xml:space="preserve">Mehmood </t>
  </si>
  <si>
    <t xml:space="preserve">Daniyal </t>
  </si>
  <si>
    <t>Eman Siddiqui</t>
  </si>
  <si>
    <t>Siddiqui Riaz</t>
  </si>
  <si>
    <t>Laiba Chaudhry</t>
  </si>
  <si>
    <t>Chaudhry Usman</t>
  </si>
  <si>
    <t>Noor ul Ain</t>
  </si>
  <si>
    <t>Abdul Ain</t>
  </si>
  <si>
    <t>Hoorain Iqbal</t>
  </si>
  <si>
    <t>Iqbal Pervaiz</t>
  </si>
  <si>
    <t>Minahil Shah</t>
  </si>
  <si>
    <t>Shah Imran</t>
  </si>
  <si>
    <t>Dua Nawaz</t>
  </si>
  <si>
    <t>Nawaz Zafar</t>
  </si>
  <si>
    <t>Ramsha Mehmood</t>
  </si>
  <si>
    <t>Mehmood Saeed</t>
  </si>
  <si>
    <t>Bisma Gillani</t>
  </si>
  <si>
    <t>Gillani Waseem</t>
  </si>
  <si>
    <t>Tooba Mirza</t>
  </si>
  <si>
    <t>Mirza Asif</t>
  </si>
  <si>
    <t>Amna Hashmi</t>
  </si>
  <si>
    <t>Hashmi Munir</t>
  </si>
  <si>
    <t>Sohaib Mirza</t>
  </si>
  <si>
    <t>Mirza Kamran</t>
  </si>
  <si>
    <t>Waleed Hashmi</t>
  </si>
  <si>
    <t>Hashmi Zaheer</t>
  </si>
  <si>
    <t>GR_0010</t>
  </si>
  <si>
    <t>GR_0011</t>
  </si>
  <si>
    <t>GR_0012</t>
  </si>
  <si>
    <t>GR_0013</t>
  </si>
  <si>
    <t>GR_0014</t>
  </si>
  <si>
    <t>GR_0015</t>
  </si>
  <si>
    <t>GR_0016</t>
  </si>
  <si>
    <t>GR_0017</t>
  </si>
  <si>
    <t>GR_0018</t>
  </si>
  <si>
    <t>GR_0019</t>
  </si>
  <si>
    <t>GR_0020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</si>
</sst>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1" fillId="0" borderId="0" xfId="0" applyFont="1" applyFill="1"/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123825</xdr:rowOff>
    </xdr:from>
    <xdr:to>
      <xdr:col>15</xdr:col>
      <xdr:colOff>257174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28774" y="314325"/>
          <a:ext cx="81819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u="dbl">
              <a:solidFill>
                <a:srgbClr val="002060"/>
              </a:solidFill>
              <a:latin typeface="Algerian" panose="04020705040A02060702" pitchFamily="82" charset="0"/>
            </a:rPr>
            <a:t>Jamia Arabia Rauzatul Atfal Sec</a:t>
          </a:r>
          <a:r>
            <a:rPr lang="en-US" sz="2800" u="dbl" baseline="0">
              <a:solidFill>
                <a:srgbClr val="002060"/>
              </a:solidFill>
              <a:latin typeface="Algerian" panose="04020705040A02060702" pitchFamily="82" charset="0"/>
            </a:rPr>
            <a:t> School</a:t>
          </a:r>
          <a:endParaRPr lang="en-US" sz="2800" u="dbl">
            <a:solidFill>
              <a:srgbClr val="00206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381000</xdr:colOff>
      <xdr:row>2</xdr:row>
      <xdr:rowOff>0</xdr:rowOff>
    </xdr:from>
    <xdr:to>
      <xdr:col>2</xdr:col>
      <xdr:colOff>76201</xdr:colOff>
      <xdr:row>4</xdr:row>
      <xdr:rowOff>114300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71575" y="381000"/>
          <a:ext cx="485776" cy="49530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rgbClr val="00206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123825</xdr:rowOff>
    </xdr:from>
    <xdr:to>
      <xdr:col>15</xdr:col>
      <xdr:colOff>257174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28774" y="314325"/>
          <a:ext cx="1055370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u="dbl">
              <a:solidFill>
                <a:srgbClr val="002060"/>
              </a:solidFill>
              <a:latin typeface="Algerian" panose="04020705040A02060702" pitchFamily="82" charset="0"/>
            </a:rPr>
            <a:t>Jamia Arabia Rauzatul Atfal Sec</a:t>
          </a:r>
          <a:r>
            <a:rPr lang="en-US" sz="2800" u="dbl" baseline="0">
              <a:solidFill>
                <a:srgbClr val="002060"/>
              </a:solidFill>
              <a:latin typeface="Algerian" panose="04020705040A02060702" pitchFamily="82" charset="0"/>
            </a:rPr>
            <a:t> School</a:t>
          </a:r>
          <a:endParaRPr lang="en-US" sz="2800" u="dbl">
            <a:solidFill>
              <a:srgbClr val="00206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381000</xdr:colOff>
      <xdr:row>2</xdr:row>
      <xdr:rowOff>0</xdr:rowOff>
    </xdr:from>
    <xdr:to>
      <xdr:col>2</xdr:col>
      <xdr:colOff>76201</xdr:colOff>
      <xdr:row>4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71575" y="381000"/>
          <a:ext cx="485776" cy="49530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rgbClr val="00206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123825</xdr:rowOff>
    </xdr:from>
    <xdr:to>
      <xdr:col>15</xdr:col>
      <xdr:colOff>257174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628774" y="314325"/>
          <a:ext cx="1055370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u="dbl">
              <a:solidFill>
                <a:srgbClr val="002060"/>
              </a:solidFill>
              <a:latin typeface="Algerian" panose="04020705040A02060702" pitchFamily="82" charset="0"/>
            </a:rPr>
            <a:t>Jamia Arabia Rauzatul Atfal Sec</a:t>
          </a:r>
          <a:r>
            <a:rPr lang="en-US" sz="2800" u="dbl" baseline="0">
              <a:solidFill>
                <a:srgbClr val="002060"/>
              </a:solidFill>
              <a:latin typeface="Algerian" panose="04020705040A02060702" pitchFamily="82" charset="0"/>
            </a:rPr>
            <a:t> School</a:t>
          </a:r>
          <a:endParaRPr lang="en-US" sz="2800" u="dbl">
            <a:solidFill>
              <a:srgbClr val="00206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381000</xdr:colOff>
      <xdr:row>2</xdr:row>
      <xdr:rowOff>0</xdr:rowOff>
    </xdr:from>
    <xdr:to>
      <xdr:col>2</xdr:col>
      <xdr:colOff>76201</xdr:colOff>
      <xdr:row>4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71575" y="381000"/>
          <a:ext cx="485776" cy="49530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rgbClr val="00206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123825</xdr:rowOff>
    </xdr:from>
    <xdr:to>
      <xdr:col>15</xdr:col>
      <xdr:colOff>257174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628774" y="314325"/>
          <a:ext cx="1055370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u="dbl">
              <a:solidFill>
                <a:srgbClr val="002060"/>
              </a:solidFill>
              <a:latin typeface="Algerian" panose="04020705040A02060702" pitchFamily="82" charset="0"/>
            </a:rPr>
            <a:t>Jamia Arabia Rauzatul Atfal Sec</a:t>
          </a:r>
          <a:r>
            <a:rPr lang="en-US" sz="2800" u="dbl" baseline="0">
              <a:solidFill>
                <a:srgbClr val="002060"/>
              </a:solidFill>
              <a:latin typeface="Algerian" panose="04020705040A02060702" pitchFamily="82" charset="0"/>
            </a:rPr>
            <a:t> School</a:t>
          </a:r>
          <a:endParaRPr lang="en-US" sz="2800" u="dbl">
            <a:solidFill>
              <a:srgbClr val="00206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381000</xdr:colOff>
      <xdr:row>2</xdr:row>
      <xdr:rowOff>0</xdr:rowOff>
    </xdr:from>
    <xdr:to>
      <xdr:col>2</xdr:col>
      <xdr:colOff>76201</xdr:colOff>
      <xdr:row>4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71575" y="381000"/>
          <a:ext cx="485776" cy="495300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rgbClr val="00206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6:R27"/>
  <sheetViews>
    <sheetView tabSelected="1" topLeftCell="A8" workbookViewId="0">
      <selection activeCell="A17" sqref="A17:A27"/>
    </sheetView>
  </sheetViews>
  <sheetFormatPr defaultRowHeight="15" x14ac:dyDescent="0.25"/>
  <cols>
    <col min="1" max="2" width="11.85546875" customWidth="1"/>
    <col min="3" max="3" width="14.28515625" customWidth="1"/>
    <col min="4" max="5" width="11.85546875" customWidth="1"/>
    <col min="6" max="6" width="8" customWidth="1"/>
    <col min="7" max="7" width="8.5703125" customWidth="1"/>
    <col min="8" max="8" width="7.5703125" customWidth="1"/>
    <col min="9" max="9" width="9.140625" customWidth="1"/>
    <col min="10" max="10" width="10.5703125" customWidth="1"/>
    <col min="11" max="11" width="12.5703125" customWidth="1"/>
    <col min="12" max="12" width="8" customWidth="1"/>
    <col min="13" max="13" width="8.5703125" customWidth="1"/>
    <col min="14" max="14" width="14.42578125" customWidth="1"/>
    <col min="15" max="15" width="11.85546875" customWidth="1"/>
    <col min="16" max="16" width="13.140625" customWidth="1"/>
    <col min="17" max="18" width="11.85546875" customWidth="1"/>
  </cols>
  <sheetData>
    <row r="6" spans="1:18" ht="15.75" thickBot="1" x14ac:dyDescent="0.3"/>
    <row r="7" spans="1:18" s="17" customFormat="1" ht="32.25" thickBot="1" x14ac:dyDescent="0.3">
      <c r="A7" s="10" t="s">
        <v>19</v>
      </c>
      <c r="B7" s="11" t="s">
        <v>0</v>
      </c>
      <c r="C7" s="11" t="s">
        <v>1</v>
      </c>
      <c r="D7" s="11" t="s">
        <v>2</v>
      </c>
      <c r="E7" s="11" t="s">
        <v>3</v>
      </c>
      <c r="F7" s="11" t="s">
        <v>4</v>
      </c>
      <c r="G7" s="11" t="s">
        <v>5</v>
      </c>
      <c r="H7" s="11" t="s">
        <v>6</v>
      </c>
      <c r="I7" s="11" t="s">
        <v>7</v>
      </c>
      <c r="J7" s="11" t="s">
        <v>8</v>
      </c>
      <c r="K7" s="11" t="s">
        <v>16</v>
      </c>
      <c r="L7" s="11" t="s">
        <v>17</v>
      </c>
      <c r="M7" s="11" t="s">
        <v>18</v>
      </c>
      <c r="N7" s="11" t="s">
        <v>9</v>
      </c>
      <c r="O7" s="11" t="s">
        <v>10</v>
      </c>
      <c r="P7" s="11" t="s">
        <v>11</v>
      </c>
      <c r="Q7" s="11" t="s">
        <v>12</v>
      </c>
      <c r="R7" s="12" t="s">
        <v>13</v>
      </c>
    </row>
    <row r="8" spans="1:18" ht="15.75" x14ac:dyDescent="0.25">
      <c r="A8" s="6" t="s">
        <v>20</v>
      </c>
      <c r="B8" s="7" t="s">
        <v>29</v>
      </c>
      <c r="C8" s="7" t="s">
        <v>30</v>
      </c>
      <c r="D8" s="7" t="s">
        <v>31</v>
      </c>
      <c r="E8" s="8" t="str">
        <f>IF(D8="Female","A","B")</f>
        <v>A</v>
      </c>
      <c r="F8" s="7">
        <v>67</v>
      </c>
      <c r="G8" s="7">
        <v>70</v>
      </c>
      <c r="H8" s="7">
        <v>55</v>
      </c>
      <c r="I8" s="7">
        <v>46</v>
      </c>
      <c r="J8" s="7">
        <v>92</v>
      </c>
      <c r="K8" s="7">
        <v>73</v>
      </c>
      <c r="L8" s="7">
        <v>77</v>
      </c>
      <c r="M8" s="7">
        <v>73</v>
      </c>
      <c r="N8" s="7">
        <f>SUM(F8:M8)</f>
        <v>553</v>
      </c>
      <c r="O8" s="7">
        <v>800</v>
      </c>
      <c r="P8" s="9">
        <v>0.9</v>
      </c>
      <c r="Q8" s="6" t="s">
        <v>15</v>
      </c>
      <c r="R8" s="6" t="s">
        <v>60</v>
      </c>
    </row>
    <row r="9" spans="1:18" ht="15.75" x14ac:dyDescent="0.25">
      <c r="A9" s="4" t="s">
        <v>21</v>
      </c>
      <c r="B9" s="1" t="s">
        <v>32</v>
      </c>
      <c r="C9" s="1" t="s">
        <v>33</v>
      </c>
      <c r="D9" s="1" t="s">
        <v>14</v>
      </c>
      <c r="E9" s="2" t="str">
        <f t="shared" ref="E9:E27" si="0">IF(D9="Female","A","B")</f>
        <v>B</v>
      </c>
      <c r="F9" s="1">
        <v>96</v>
      </c>
      <c r="G9" s="1">
        <v>59</v>
      </c>
      <c r="H9" s="1">
        <v>98</v>
      </c>
      <c r="I9" s="1">
        <v>94</v>
      </c>
      <c r="J9" s="1">
        <v>59</v>
      </c>
      <c r="K9" s="1">
        <v>53</v>
      </c>
      <c r="L9" s="1">
        <v>48</v>
      </c>
      <c r="M9" s="1">
        <v>91</v>
      </c>
      <c r="N9" s="1">
        <f t="shared" ref="N9:N27" si="1">SUM(F9:M9)</f>
        <v>598</v>
      </c>
      <c r="O9" s="1">
        <v>800</v>
      </c>
      <c r="P9" s="9">
        <v>0.9</v>
      </c>
      <c r="Q9" s="4" t="s">
        <v>15</v>
      </c>
      <c r="R9" s="4" t="s">
        <v>60</v>
      </c>
    </row>
    <row r="10" spans="1:18" ht="15.75" x14ac:dyDescent="0.25">
      <c r="A10" s="4" t="s">
        <v>22</v>
      </c>
      <c r="B10" s="1" t="s">
        <v>34</v>
      </c>
      <c r="C10" s="1" t="s">
        <v>35</v>
      </c>
      <c r="D10" s="1" t="s">
        <v>31</v>
      </c>
      <c r="E10" s="2" t="str">
        <f t="shared" si="0"/>
        <v>A</v>
      </c>
      <c r="F10" s="1">
        <v>79</v>
      </c>
      <c r="G10" s="1">
        <v>62</v>
      </c>
      <c r="H10" s="1">
        <v>49</v>
      </c>
      <c r="I10" s="1">
        <v>85</v>
      </c>
      <c r="J10" s="1">
        <v>57</v>
      </c>
      <c r="K10" s="1">
        <v>75</v>
      </c>
      <c r="L10" s="1">
        <v>50</v>
      </c>
      <c r="M10" s="1">
        <v>67</v>
      </c>
      <c r="N10" s="1">
        <f t="shared" si="1"/>
        <v>524</v>
      </c>
      <c r="O10" s="1">
        <v>800</v>
      </c>
      <c r="P10" s="9">
        <v>0.9</v>
      </c>
      <c r="Q10" s="4" t="s">
        <v>15</v>
      </c>
      <c r="R10" s="4" t="s">
        <v>60</v>
      </c>
    </row>
    <row r="11" spans="1:18" ht="15.75" x14ac:dyDescent="0.25">
      <c r="A11" s="4" t="s">
        <v>23</v>
      </c>
      <c r="B11" s="1" t="s">
        <v>36</v>
      </c>
      <c r="C11" s="1" t="s">
        <v>37</v>
      </c>
      <c r="D11" s="1" t="s">
        <v>31</v>
      </c>
      <c r="E11" s="2" t="str">
        <f t="shared" si="0"/>
        <v>A</v>
      </c>
      <c r="F11" s="1">
        <v>40</v>
      </c>
      <c r="G11" s="1">
        <v>87</v>
      </c>
      <c r="H11" s="1">
        <v>69</v>
      </c>
      <c r="I11" s="1">
        <v>41</v>
      </c>
      <c r="J11" s="1">
        <v>63</v>
      </c>
      <c r="K11" s="1">
        <v>89</v>
      </c>
      <c r="L11" s="1">
        <v>56</v>
      </c>
      <c r="M11" s="1">
        <v>72</v>
      </c>
      <c r="N11" s="1">
        <f t="shared" si="1"/>
        <v>517</v>
      </c>
      <c r="O11" s="1">
        <v>800</v>
      </c>
      <c r="P11" s="9">
        <v>0.9</v>
      </c>
      <c r="Q11" s="4" t="s">
        <v>15</v>
      </c>
      <c r="R11" s="4" t="s">
        <v>60</v>
      </c>
    </row>
    <row r="12" spans="1:18" ht="15.75" x14ac:dyDescent="0.25">
      <c r="A12" s="4" t="s">
        <v>24</v>
      </c>
      <c r="B12" s="1" t="s">
        <v>38</v>
      </c>
      <c r="C12" s="1" t="s">
        <v>39</v>
      </c>
      <c r="D12" s="1" t="s">
        <v>14</v>
      </c>
      <c r="E12" s="2" t="str">
        <f t="shared" si="0"/>
        <v>B</v>
      </c>
      <c r="F12" s="1">
        <v>96</v>
      </c>
      <c r="G12" s="1">
        <v>100</v>
      </c>
      <c r="H12" s="1">
        <v>92</v>
      </c>
      <c r="I12" s="1">
        <v>58</v>
      </c>
      <c r="J12" s="1">
        <v>92</v>
      </c>
      <c r="K12" s="1">
        <v>57</v>
      </c>
      <c r="L12" s="1">
        <v>74</v>
      </c>
      <c r="M12" s="1">
        <v>76</v>
      </c>
      <c r="N12" s="1">
        <f t="shared" si="1"/>
        <v>645</v>
      </c>
      <c r="O12" s="1">
        <v>800</v>
      </c>
      <c r="P12" s="9">
        <v>0.9</v>
      </c>
      <c r="Q12" s="4" t="s">
        <v>15</v>
      </c>
      <c r="R12" s="4" t="s">
        <v>60</v>
      </c>
    </row>
    <row r="13" spans="1:18" ht="15.75" x14ac:dyDescent="0.25">
      <c r="A13" s="4" t="s">
        <v>25</v>
      </c>
      <c r="B13" s="1" t="s">
        <v>40</v>
      </c>
      <c r="C13" s="1" t="s">
        <v>30</v>
      </c>
      <c r="D13" s="1" t="s">
        <v>31</v>
      </c>
      <c r="E13" s="2" t="str">
        <f t="shared" si="0"/>
        <v>A</v>
      </c>
      <c r="F13" s="1">
        <v>76</v>
      </c>
      <c r="G13" s="1">
        <v>81</v>
      </c>
      <c r="H13" s="1">
        <v>43</v>
      </c>
      <c r="I13" s="1">
        <v>68</v>
      </c>
      <c r="J13" s="1">
        <v>93</v>
      </c>
      <c r="K13" s="1">
        <v>54</v>
      </c>
      <c r="L13" s="1">
        <v>73</v>
      </c>
      <c r="M13" s="1">
        <v>60</v>
      </c>
      <c r="N13" s="1">
        <f t="shared" si="1"/>
        <v>548</v>
      </c>
      <c r="O13" s="1">
        <v>800</v>
      </c>
      <c r="P13" s="9">
        <v>0.9</v>
      </c>
      <c r="Q13" s="4" t="s">
        <v>15</v>
      </c>
      <c r="R13" s="4" t="s">
        <v>61</v>
      </c>
    </row>
    <row r="14" spans="1:18" ht="15.75" x14ac:dyDescent="0.25">
      <c r="A14" s="4" t="s">
        <v>26</v>
      </c>
      <c r="B14" s="1" t="s">
        <v>41</v>
      </c>
      <c r="C14" s="1" t="s">
        <v>30</v>
      </c>
      <c r="D14" s="1" t="s">
        <v>14</v>
      </c>
      <c r="E14" s="2" t="str">
        <f t="shared" si="0"/>
        <v>B</v>
      </c>
      <c r="F14" s="1">
        <v>52</v>
      </c>
      <c r="G14" s="1">
        <v>91</v>
      </c>
      <c r="H14" s="1">
        <v>86</v>
      </c>
      <c r="I14" s="1">
        <v>92</v>
      </c>
      <c r="J14" s="1">
        <v>66</v>
      </c>
      <c r="K14" s="1">
        <v>58</v>
      </c>
      <c r="L14" s="1">
        <v>57</v>
      </c>
      <c r="M14" s="1">
        <v>84</v>
      </c>
      <c r="N14" s="1">
        <f t="shared" si="1"/>
        <v>586</v>
      </c>
      <c r="O14" s="1">
        <v>800</v>
      </c>
      <c r="P14" s="9">
        <v>0.9</v>
      </c>
      <c r="Q14" s="4" t="s">
        <v>15</v>
      </c>
      <c r="R14" s="4" t="s">
        <v>61</v>
      </c>
    </row>
    <row r="15" spans="1:18" ht="15.75" x14ac:dyDescent="0.25">
      <c r="A15" s="4" t="s">
        <v>27</v>
      </c>
      <c r="B15" s="1" t="s">
        <v>42</v>
      </c>
      <c r="C15" s="1" t="s">
        <v>30</v>
      </c>
      <c r="D15" s="1" t="s">
        <v>14</v>
      </c>
      <c r="E15" s="2" t="str">
        <f t="shared" si="0"/>
        <v>B</v>
      </c>
      <c r="F15" s="1">
        <v>96</v>
      </c>
      <c r="G15" s="1">
        <v>95</v>
      </c>
      <c r="H15" s="1">
        <v>95</v>
      </c>
      <c r="I15" s="1">
        <v>53</v>
      </c>
      <c r="J15" s="1">
        <v>88</v>
      </c>
      <c r="K15" s="1">
        <v>94</v>
      </c>
      <c r="L15" s="1">
        <v>57</v>
      </c>
      <c r="M15" s="1">
        <v>54</v>
      </c>
      <c r="N15" s="1">
        <f t="shared" si="1"/>
        <v>632</v>
      </c>
      <c r="O15" s="1">
        <v>800</v>
      </c>
      <c r="P15" s="9">
        <v>0.9</v>
      </c>
      <c r="Q15" s="4" t="s">
        <v>15</v>
      </c>
      <c r="R15" s="4" t="s">
        <v>61</v>
      </c>
    </row>
    <row r="16" spans="1:18" ht="15.75" x14ac:dyDescent="0.25">
      <c r="A16" s="4" t="s">
        <v>28</v>
      </c>
      <c r="B16" s="1" t="s">
        <v>43</v>
      </c>
      <c r="C16" s="1" t="s">
        <v>30</v>
      </c>
      <c r="D16" s="1" t="s">
        <v>14</v>
      </c>
      <c r="E16" s="2" t="str">
        <f t="shared" si="0"/>
        <v>B</v>
      </c>
      <c r="F16" s="1">
        <v>83</v>
      </c>
      <c r="G16" s="1">
        <v>44</v>
      </c>
      <c r="H16" s="1">
        <v>41</v>
      </c>
      <c r="I16" s="1">
        <v>56</v>
      </c>
      <c r="J16" s="1">
        <v>75</v>
      </c>
      <c r="K16" s="1">
        <v>48</v>
      </c>
      <c r="L16" s="1">
        <v>58</v>
      </c>
      <c r="M16" s="1">
        <v>95</v>
      </c>
      <c r="N16" s="1">
        <f t="shared" si="1"/>
        <v>500</v>
      </c>
      <c r="O16" s="1">
        <v>800</v>
      </c>
      <c r="P16" s="9">
        <v>0.9</v>
      </c>
      <c r="Q16" s="4" t="s">
        <v>15</v>
      </c>
      <c r="R16" s="4" t="s">
        <v>62</v>
      </c>
    </row>
    <row r="17" spans="1:18" ht="15.75" x14ac:dyDescent="0.25">
      <c r="A17" s="4" t="s">
        <v>223</v>
      </c>
      <c r="B17" s="1" t="s">
        <v>44</v>
      </c>
      <c r="C17" s="1" t="s">
        <v>35</v>
      </c>
      <c r="D17" s="1" t="s">
        <v>31</v>
      </c>
      <c r="E17" s="2" t="str">
        <f t="shared" si="0"/>
        <v>A</v>
      </c>
      <c r="F17" s="1">
        <v>65</v>
      </c>
      <c r="G17" s="1">
        <v>56</v>
      </c>
      <c r="H17" s="1">
        <v>74</v>
      </c>
      <c r="I17" s="1">
        <v>47</v>
      </c>
      <c r="J17" s="1">
        <v>59</v>
      </c>
      <c r="K17" s="1">
        <v>96</v>
      </c>
      <c r="L17" s="1">
        <v>83</v>
      </c>
      <c r="M17" s="1">
        <v>71</v>
      </c>
      <c r="N17" s="1">
        <f t="shared" si="1"/>
        <v>551</v>
      </c>
      <c r="O17" s="1">
        <v>800</v>
      </c>
      <c r="P17" s="9">
        <v>0.9</v>
      </c>
      <c r="Q17" s="4" t="s">
        <v>15</v>
      </c>
      <c r="R17" s="4" t="s">
        <v>62</v>
      </c>
    </row>
    <row r="18" spans="1:18" ht="15.75" x14ac:dyDescent="0.25">
      <c r="A18" s="4" t="s">
        <v>224</v>
      </c>
      <c r="B18" s="1" t="s">
        <v>45</v>
      </c>
      <c r="C18" s="1" t="s">
        <v>35</v>
      </c>
      <c r="D18" s="1" t="s">
        <v>31</v>
      </c>
      <c r="E18" s="2" t="str">
        <f t="shared" si="0"/>
        <v>A</v>
      </c>
      <c r="F18" s="1">
        <v>92</v>
      </c>
      <c r="G18" s="1">
        <v>49</v>
      </c>
      <c r="H18" s="1">
        <v>59</v>
      </c>
      <c r="I18" s="1">
        <v>56</v>
      </c>
      <c r="J18" s="1">
        <v>86</v>
      </c>
      <c r="K18" s="1">
        <v>55</v>
      </c>
      <c r="L18" s="1">
        <v>77</v>
      </c>
      <c r="M18" s="1">
        <v>47</v>
      </c>
      <c r="N18" s="1">
        <f t="shared" si="1"/>
        <v>521</v>
      </c>
      <c r="O18" s="1">
        <v>800</v>
      </c>
      <c r="P18" s="9">
        <v>0.9</v>
      </c>
      <c r="Q18" s="4" t="s">
        <v>59</v>
      </c>
      <c r="R18" s="4" t="s">
        <v>62</v>
      </c>
    </row>
    <row r="19" spans="1:18" ht="15.75" x14ac:dyDescent="0.25">
      <c r="A19" s="4" t="s">
        <v>225</v>
      </c>
      <c r="B19" s="1" t="s">
        <v>46</v>
      </c>
      <c r="C19" s="1" t="s">
        <v>47</v>
      </c>
      <c r="D19" s="1" t="s">
        <v>31</v>
      </c>
      <c r="E19" s="2" t="str">
        <f t="shared" si="0"/>
        <v>A</v>
      </c>
      <c r="F19" s="1">
        <v>98</v>
      </c>
      <c r="G19" s="1">
        <v>79</v>
      </c>
      <c r="H19" s="1">
        <v>60</v>
      </c>
      <c r="I19" s="1">
        <v>62</v>
      </c>
      <c r="J19" s="1">
        <v>65</v>
      </c>
      <c r="K19" s="1">
        <v>84</v>
      </c>
      <c r="L19" s="1">
        <v>72</v>
      </c>
      <c r="M19" s="1">
        <v>57</v>
      </c>
      <c r="N19" s="1">
        <f t="shared" si="1"/>
        <v>577</v>
      </c>
      <c r="O19" s="1">
        <v>800</v>
      </c>
      <c r="P19" s="9">
        <v>0.9</v>
      </c>
      <c r="Q19" s="4" t="s">
        <v>59</v>
      </c>
      <c r="R19" s="4" t="s">
        <v>61</v>
      </c>
    </row>
    <row r="20" spans="1:18" ht="15.75" x14ac:dyDescent="0.25">
      <c r="A20" s="4" t="s">
        <v>226</v>
      </c>
      <c r="B20" s="1" t="s">
        <v>48</v>
      </c>
      <c r="C20" s="1" t="s">
        <v>49</v>
      </c>
      <c r="D20" s="1" t="s">
        <v>14</v>
      </c>
      <c r="E20" s="2" t="str">
        <f t="shared" si="0"/>
        <v>B</v>
      </c>
      <c r="F20" s="1">
        <v>79</v>
      </c>
      <c r="G20" s="1">
        <v>73</v>
      </c>
      <c r="H20" s="1">
        <v>77</v>
      </c>
      <c r="I20" s="1">
        <v>95</v>
      </c>
      <c r="J20" s="1">
        <v>80</v>
      </c>
      <c r="K20" s="1">
        <v>77</v>
      </c>
      <c r="L20" s="1">
        <v>88</v>
      </c>
      <c r="M20" s="1">
        <v>100</v>
      </c>
      <c r="N20" s="1">
        <f t="shared" si="1"/>
        <v>669</v>
      </c>
      <c r="O20" s="1">
        <v>800</v>
      </c>
      <c r="P20" s="9">
        <v>0.9</v>
      </c>
      <c r="Q20" s="4" t="s">
        <v>59</v>
      </c>
      <c r="R20" s="4" t="s">
        <v>61</v>
      </c>
    </row>
    <row r="21" spans="1:18" ht="15.75" x14ac:dyDescent="0.25">
      <c r="A21" s="4" t="s">
        <v>227</v>
      </c>
      <c r="B21" s="1" t="s">
        <v>50</v>
      </c>
      <c r="C21" s="1" t="s">
        <v>49</v>
      </c>
      <c r="D21" s="1" t="s">
        <v>14</v>
      </c>
      <c r="E21" s="2" t="str">
        <f t="shared" si="0"/>
        <v>B</v>
      </c>
      <c r="F21" s="1">
        <v>100</v>
      </c>
      <c r="G21" s="1">
        <v>80</v>
      </c>
      <c r="H21" s="1">
        <v>90</v>
      </c>
      <c r="I21" s="1">
        <v>65</v>
      </c>
      <c r="J21" s="1">
        <v>56</v>
      </c>
      <c r="K21" s="1">
        <v>74</v>
      </c>
      <c r="L21" s="1">
        <v>83</v>
      </c>
      <c r="M21" s="1">
        <v>90</v>
      </c>
      <c r="N21" s="1">
        <f t="shared" si="1"/>
        <v>638</v>
      </c>
      <c r="O21" s="1">
        <v>800</v>
      </c>
      <c r="P21" s="9">
        <v>0.9</v>
      </c>
      <c r="Q21" s="4" t="s">
        <v>59</v>
      </c>
      <c r="R21" s="4" t="s">
        <v>61</v>
      </c>
    </row>
    <row r="22" spans="1:18" ht="15.75" x14ac:dyDescent="0.25">
      <c r="A22" s="4" t="s">
        <v>228</v>
      </c>
      <c r="B22" s="1" t="s">
        <v>51</v>
      </c>
      <c r="C22" s="1" t="s">
        <v>52</v>
      </c>
      <c r="D22" s="1" t="s">
        <v>14</v>
      </c>
      <c r="E22" s="2" t="str">
        <f t="shared" si="0"/>
        <v>B</v>
      </c>
      <c r="F22" s="1">
        <v>61</v>
      </c>
      <c r="G22" s="1">
        <v>53</v>
      </c>
      <c r="H22" s="1">
        <v>44</v>
      </c>
      <c r="I22" s="1">
        <v>58</v>
      </c>
      <c r="J22" s="1">
        <v>80</v>
      </c>
      <c r="K22" s="1">
        <v>68</v>
      </c>
      <c r="L22" s="1">
        <v>88</v>
      </c>
      <c r="M22" s="1">
        <v>89</v>
      </c>
      <c r="N22" s="1">
        <f t="shared" si="1"/>
        <v>541</v>
      </c>
      <c r="O22" s="1">
        <v>800</v>
      </c>
      <c r="P22" s="9">
        <v>0.9</v>
      </c>
      <c r="Q22" s="4" t="s">
        <v>59</v>
      </c>
      <c r="R22" s="4" t="s">
        <v>60</v>
      </c>
    </row>
    <row r="23" spans="1:18" ht="15.75" x14ac:dyDescent="0.25">
      <c r="A23" s="4" t="s">
        <v>229</v>
      </c>
      <c r="B23" s="1" t="s">
        <v>53</v>
      </c>
      <c r="C23" s="1" t="s">
        <v>52</v>
      </c>
      <c r="D23" s="1" t="s">
        <v>14</v>
      </c>
      <c r="E23" s="2" t="str">
        <f t="shared" si="0"/>
        <v>B</v>
      </c>
      <c r="F23" s="1">
        <v>71</v>
      </c>
      <c r="G23" s="1">
        <v>70</v>
      </c>
      <c r="H23" s="1">
        <v>93</v>
      </c>
      <c r="I23" s="1">
        <v>87</v>
      </c>
      <c r="J23" s="1">
        <v>69</v>
      </c>
      <c r="K23" s="1">
        <v>82</v>
      </c>
      <c r="L23" s="1">
        <v>79</v>
      </c>
      <c r="M23" s="1">
        <v>57</v>
      </c>
      <c r="N23" s="1">
        <f t="shared" si="1"/>
        <v>608</v>
      </c>
      <c r="O23" s="1">
        <v>800</v>
      </c>
      <c r="P23" s="9">
        <v>0.9</v>
      </c>
      <c r="Q23" s="4" t="s">
        <v>59</v>
      </c>
      <c r="R23" s="4" t="s">
        <v>60</v>
      </c>
    </row>
    <row r="24" spans="1:18" ht="15.75" x14ac:dyDescent="0.25">
      <c r="A24" s="4" t="s">
        <v>230</v>
      </c>
      <c r="B24" s="1" t="s">
        <v>54</v>
      </c>
      <c r="C24" s="1" t="s">
        <v>52</v>
      </c>
      <c r="D24" s="1" t="s">
        <v>14</v>
      </c>
      <c r="E24" s="2" t="str">
        <f t="shared" si="0"/>
        <v>B</v>
      </c>
      <c r="F24" s="1">
        <v>57</v>
      </c>
      <c r="G24" s="1">
        <v>71</v>
      </c>
      <c r="H24" s="1">
        <v>62</v>
      </c>
      <c r="I24" s="1">
        <v>63</v>
      </c>
      <c r="J24" s="1">
        <v>42</v>
      </c>
      <c r="K24" s="1">
        <v>89</v>
      </c>
      <c r="L24" s="1">
        <v>59</v>
      </c>
      <c r="M24" s="1">
        <v>73</v>
      </c>
      <c r="N24" s="1">
        <f t="shared" si="1"/>
        <v>516</v>
      </c>
      <c r="O24" s="1">
        <v>800</v>
      </c>
      <c r="P24" s="9">
        <v>0.9</v>
      </c>
      <c r="Q24" s="4" t="s">
        <v>15</v>
      </c>
      <c r="R24" s="4" t="s">
        <v>61</v>
      </c>
    </row>
    <row r="25" spans="1:18" ht="15.75" x14ac:dyDescent="0.25">
      <c r="A25" s="4" t="s">
        <v>231</v>
      </c>
      <c r="B25" s="1" t="s">
        <v>55</v>
      </c>
      <c r="C25" s="1" t="s">
        <v>41</v>
      </c>
      <c r="D25" s="1" t="s">
        <v>14</v>
      </c>
      <c r="E25" s="2" t="str">
        <f t="shared" si="0"/>
        <v>B</v>
      </c>
      <c r="F25" s="1">
        <v>69</v>
      </c>
      <c r="G25" s="1">
        <v>97</v>
      </c>
      <c r="H25" s="1">
        <v>83</v>
      </c>
      <c r="I25" s="1">
        <v>50</v>
      </c>
      <c r="J25" s="1">
        <v>54</v>
      </c>
      <c r="K25" s="1">
        <v>67</v>
      </c>
      <c r="L25" s="1">
        <v>55</v>
      </c>
      <c r="M25" s="1">
        <v>71</v>
      </c>
      <c r="N25" s="1">
        <f t="shared" si="1"/>
        <v>546</v>
      </c>
      <c r="O25" s="1">
        <v>800</v>
      </c>
      <c r="P25" s="9">
        <v>0.9</v>
      </c>
      <c r="Q25" s="4" t="s">
        <v>15</v>
      </c>
      <c r="R25" s="4" t="s">
        <v>61</v>
      </c>
    </row>
    <row r="26" spans="1:18" ht="15.75" x14ac:dyDescent="0.25">
      <c r="A26" s="4" t="s">
        <v>232</v>
      </c>
      <c r="B26" s="1" t="s">
        <v>56</v>
      </c>
      <c r="C26" s="1" t="s">
        <v>42</v>
      </c>
      <c r="D26" s="1" t="s">
        <v>31</v>
      </c>
      <c r="E26" s="2" t="str">
        <f t="shared" si="0"/>
        <v>A</v>
      </c>
      <c r="F26" s="1">
        <v>40</v>
      </c>
      <c r="G26" s="1">
        <v>88</v>
      </c>
      <c r="H26" s="1">
        <v>41</v>
      </c>
      <c r="I26" s="1">
        <v>75</v>
      </c>
      <c r="J26" s="1">
        <v>76</v>
      </c>
      <c r="K26" s="1">
        <v>99</v>
      </c>
      <c r="L26" s="1">
        <v>100</v>
      </c>
      <c r="M26" s="1">
        <v>69</v>
      </c>
      <c r="N26" s="1">
        <f t="shared" si="1"/>
        <v>588</v>
      </c>
      <c r="O26" s="1">
        <v>800</v>
      </c>
      <c r="P26" s="9">
        <v>0.9</v>
      </c>
      <c r="Q26" s="4" t="s">
        <v>15</v>
      </c>
      <c r="R26" s="4" t="s">
        <v>62</v>
      </c>
    </row>
    <row r="27" spans="1:18" ht="15.75" x14ac:dyDescent="0.25">
      <c r="A27" s="4" t="s">
        <v>233</v>
      </c>
      <c r="B27" s="1" t="s">
        <v>57</v>
      </c>
      <c r="C27" s="1" t="s">
        <v>58</v>
      </c>
      <c r="D27" s="1" t="s">
        <v>14</v>
      </c>
      <c r="E27" s="2" t="str">
        <f t="shared" si="0"/>
        <v>B</v>
      </c>
      <c r="F27" s="1">
        <v>67</v>
      </c>
      <c r="G27" s="1">
        <v>73</v>
      </c>
      <c r="H27" s="1">
        <v>47</v>
      </c>
      <c r="I27" s="1">
        <v>79</v>
      </c>
      <c r="J27" s="1">
        <v>42</v>
      </c>
      <c r="K27" s="1">
        <v>46</v>
      </c>
      <c r="L27" s="1">
        <v>62</v>
      </c>
      <c r="M27" s="1">
        <v>57</v>
      </c>
      <c r="N27" s="1">
        <f t="shared" si="1"/>
        <v>473</v>
      </c>
      <c r="O27" s="1">
        <v>800</v>
      </c>
      <c r="P27" s="9">
        <v>0.9</v>
      </c>
      <c r="Q27" s="4" t="s">
        <v>15</v>
      </c>
      <c r="R27" s="4" t="s">
        <v>62</v>
      </c>
    </row>
  </sheetData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6:R27"/>
  <sheetViews>
    <sheetView workbookViewId="0">
      <selection activeCell="G18" sqref="G18"/>
    </sheetView>
  </sheetViews>
  <sheetFormatPr defaultRowHeight="15" x14ac:dyDescent="0.25"/>
  <cols>
    <col min="1" max="2" width="11.85546875" customWidth="1"/>
    <col min="3" max="3" width="16.42578125" customWidth="1"/>
    <col min="4" max="13" width="11.85546875" customWidth="1"/>
    <col min="14" max="14" width="14.140625" customWidth="1"/>
    <col min="15" max="15" width="11.85546875" customWidth="1"/>
    <col min="16" max="16" width="15.5703125" customWidth="1"/>
    <col min="17" max="18" width="11.85546875" customWidth="1"/>
  </cols>
  <sheetData>
    <row r="6" spans="1:18" ht="15.75" thickBot="1" x14ac:dyDescent="0.3"/>
    <row r="7" spans="1:18" ht="16.5" thickBot="1" x14ac:dyDescent="0.3">
      <c r="A7" s="10" t="s">
        <v>19</v>
      </c>
      <c r="B7" s="18" t="s">
        <v>0</v>
      </c>
      <c r="C7" s="18" t="s">
        <v>1</v>
      </c>
      <c r="D7" s="18" t="s">
        <v>2</v>
      </c>
      <c r="E7" s="11" t="s">
        <v>3</v>
      </c>
      <c r="F7" s="11" t="s">
        <v>4</v>
      </c>
      <c r="G7" s="11" t="s">
        <v>5</v>
      </c>
      <c r="H7" s="11" t="s">
        <v>6</v>
      </c>
      <c r="I7" s="11" t="s">
        <v>7</v>
      </c>
      <c r="J7" s="11" t="s">
        <v>8</v>
      </c>
      <c r="K7" s="11" t="s">
        <v>16</v>
      </c>
      <c r="L7" s="11" t="s">
        <v>17</v>
      </c>
      <c r="M7" s="11" t="s">
        <v>18</v>
      </c>
      <c r="N7" s="11" t="s">
        <v>9</v>
      </c>
      <c r="O7" s="11" t="s">
        <v>10</v>
      </c>
      <c r="P7" s="11" t="s">
        <v>11</v>
      </c>
      <c r="Q7" s="11" t="s">
        <v>12</v>
      </c>
      <c r="R7" s="12" t="s">
        <v>13</v>
      </c>
    </row>
    <row r="8" spans="1:18" ht="15.75" x14ac:dyDescent="0.25">
      <c r="A8" s="6" t="s">
        <v>63</v>
      </c>
      <c r="B8" s="1" t="s">
        <v>83</v>
      </c>
      <c r="C8" s="1" t="s">
        <v>58</v>
      </c>
      <c r="D8" s="1" t="s">
        <v>31</v>
      </c>
      <c r="E8" s="8" t="str">
        <f>IF(D8="Female","A","B")</f>
        <v>A</v>
      </c>
      <c r="F8" s="7">
        <v>67</v>
      </c>
      <c r="G8" s="7">
        <v>70</v>
      </c>
      <c r="H8" s="7">
        <v>55</v>
      </c>
      <c r="I8" s="7">
        <v>46</v>
      </c>
      <c r="J8" s="7">
        <v>92</v>
      </c>
      <c r="K8" s="7">
        <v>73</v>
      </c>
      <c r="L8" s="7">
        <v>77</v>
      </c>
      <c r="M8" s="7">
        <v>73</v>
      </c>
      <c r="N8" s="7">
        <f>SUM(F8:M8)</f>
        <v>553</v>
      </c>
      <c r="O8" s="7">
        <v>800</v>
      </c>
      <c r="P8" s="9">
        <v>0.68</v>
      </c>
      <c r="Q8" s="6" t="s">
        <v>15</v>
      </c>
      <c r="R8" s="6" t="s">
        <v>60</v>
      </c>
    </row>
    <row r="9" spans="1:18" ht="15.75" x14ac:dyDescent="0.25">
      <c r="A9" s="6" t="s">
        <v>64</v>
      </c>
      <c r="B9" s="1" t="s">
        <v>84</v>
      </c>
      <c r="C9" s="1" t="s">
        <v>85</v>
      </c>
      <c r="D9" s="1" t="s">
        <v>31</v>
      </c>
      <c r="E9" s="2" t="str">
        <f t="shared" ref="E9:E27" si="0">IF(D9="Female","A","B")</f>
        <v>A</v>
      </c>
      <c r="F9" s="1">
        <v>96</v>
      </c>
      <c r="G9" s="1">
        <v>59</v>
      </c>
      <c r="H9" s="1">
        <v>98</v>
      </c>
      <c r="I9" s="1">
        <v>94</v>
      </c>
      <c r="J9" s="1">
        <v>59</v>
      </c>
      <c r="K9" s="1">
        <v>53</v>
      </c>
      <c r="L9" s="1">
        <v>48</v>
      </c>
      <c r="M9" s="1">
        <v>91</v>
      </c>
      <c r="N9" s="1">
        <f t="shared" ref="N9:N27" si="1">SUM(F9:M9)</f>
        <v>598</v>
      </c>
      <c r="O9" s="1">
        <v>800</v>
      </c>
      <c r="P9" s="3">
        <v>0.8</v>
      </c>
      <c r="Q9" s="4" t="s">
        <v>15</v>
      </c>
      <c r="R9" s="4" t="s">
        <v>60</v>
      </c>
    </row>
    <row r="10" spans="1:18" ht="15.75" x14ac:dyDescent="0.25">
      <c r="A10" s="6" t="s">
        <v>65</v>
      </c>
      <c r="B10" s="1" t="s">
        <v>86</v>
      </c>
      <c r="C10" s="1" t="s">
        <v>87</v>
      </c>
      <c r="D10" s="1" t="s">
        <v>14</v>
      </c>
      <c r="E10" s="2" t="str">
        <f t="shared" si="0"/>
        <v>B</v>
      </c>
      <c r="F10" s="1">
        <v>89</v>
      </c>
      <c r="G10" s="1">
        <v>62</v>
      </c>
      <c r="H10" s="1">
        <v>49</v>
      </c>
      <c r="I10" s="1">
        <v>45</v>
      </c>
      <c r="J10" s="1">
        <v>57</v>
      </c>
      <c r="K10" s="1">
        <v>75</v>
      </c>
      <c r="L10" s="1">
        <v>50</v>
      </c>
      <c r="M10" s="1">
        <v>67</v>
      </c>
      <c r="N10" s="1">
        <f t="shared" si="1"/>
        <v>494</v>
      </c>
      <c r="O10" s="1">
        <v>800</v>
      </c>
      <c r="P10" s="3">
        <v>0.85</v>
      </c>
      <c r="Q10" s="4" t="s">
        <v>15</v>
      </c>
      <c r="R10" s="4" t="s">
        <v>60</v>
      </c>
    </row>
    <row r="11" spans="1:18" ht="15.75" x14ac:dyDescent="0.25">
      <c r="A11" s="6" t="s">
        <v>66</v>
      </c>
      <c r="B11" s="1" t="s">
        <v>88</v>
      </c>
      <c r="C11" s="1" t="s">
        <v>53</v>
      </c>
      <c r="D11" s="1" t="s">
        <v>14</v>
      </c>
      <c r="E11" s="2" t="str">
        <f t="shared" si="0"/>
        <v>B</v>
      </c>
      <c r="F11" s="1">
        <v>40</v>
      </c>
      <c r="G11" s="1">
        <v>87</v>
      </c>
      <c r="H11" s="1">
        <v>69</v>
      </c>
      <c r="I11" s="1">
        <v>41</v>
      </c>
      <c r="J11" s="1">
        <v>63</v>
      </c>
      <c r="K11" s="1">
        <v>89</v>
      </c>
      <c r="L11" s="1">
        <v>56</v>
      </c>
      <c r="M11" s="1">
        <v>72</v>
      </c>
      <c r="N11" s="1">
        <f t="shared" si="1"/>
        <v>517</v>
      </c>
      <c r="O11" s="1">
        <v>800</v>
      </c>
      <c r="P11" s="3">
        <v>0.7</v>
      </c>
      <c r="Q11" s="4" t="s">
        <v>15</v>
      </c>
      <c r="R11" s="4" t="s">
        <v>60</v>
      </c>
    </row>
    <row r="12" spans="1:18" ht="15.75" x14ac:dyDescent="0.25">
      <c r="A12" s="6" t="s">
        <v>67</v>
      </c>
      <c r="B12" s="1" t="s">
        <v>89</v>
      </c>
      <c r="C12" s="1" t="s">
        <v>90</v>
      </c>
      <c r="D12" s="1" t="s">
        <v>14</v>
      </c>
      <c r="E12" s="2" t="str">
        <f t="shared" si="0"/>
        <v>B</v>
      </c>
      <c r="F12" s="1">
        <v>96</v>
      </c>
      <c r="G12" s="1">
        <v>100</v>
      </c>
      <c r="H12" s="1">
        <v>92</v>
      </c>
      <c r="I12" s="1">
        <v>58</v>
      </c>
      <c r="J12" s="1">
        <v>92</v>
      </c>
      <c r="K12" s="1">
        <v>57</v>
      </c>
      <c r="L12" s="1">
        <v>74</v>
      </c>
      <c r="M12" s="1">
        <v>76</v>
      </c>
      <c r="N12" s="1">
        <f t="shared" si="1"/>
        <v>645</v>
      </c>
      <c r="O12" s="1">
        <v>800</v>
      </c>
      <c r="P12" s="3">
        <v>0.65</v>
      </c>
      <c r="Q12" s="4" t="s">
        <v>15</v>
      </c>
      <c r="R12" s="4" t="s">
        <v>60</v>
      </c>
    </row>
    <row r="13" spans="1:18" ht="15.75" x14ac:dyDescent="0.25">
      <c r="A13" s="6" t="s">
        <v>68</v>
      </c>
      <c r="B13" s="1" t="s">
        <v>91</v>
      </c>
      <c r="C13" s="1" t="s">
        <v>90</v>
      </c>
      <c r="D13" s="1" t="s">
        <v>31</v>
      </c>
      <c r="E13" s="2" t="str">
        <f t="shared" si="0"/>
        <v>A</v>
      </c>
      <c r="F13" s="1">
        <v>76</v>
      </c>
      <c r="G13" s="1">
        <v>81</v>
      </c>
      <c r="H13" s="1">
        <v>65</v>
      </c>
      <c r="I13" s="1">
        <v>68</v>
      </c>
      <c r="J13" s="1">
        <v>93</v>
      </c>
      <c r="K13" s="1">
        <v>64</v>
      </c>
      <c r="L13" s="1">
        <v>73</v>
      </c>
      <c r="M13" s="1">
        <v>60</v>
      </c>
      <c r="N13" s="1">
        <f t="shared" si="1"/>
        <v>580</v>
      </c>
      <c r="O13" s="1">
        <v>800</v>
      </c>
      <c r="P13" s="3">
        <v>0.8</v>
      </c>
      <c r="Q13" s="4" t="s">
        <v>59</v>
      </c>
      <c r="R13" s="4" t="s">
        <v>61</v>
      </c>
    </row>
    <row r="14" spans="1:18" ht="15.75" x14ac:dyDescent="0.25">
      <c r="A14" s="6" t="s">
        <v>69</v>
      </c>
      <c r="B14" s="1" t="s">
        <v>92</v>
      </c>
      <c r="C14" s="1" t="s">
        <v>87</v>
      </c>
      <c r="D14" s="1" t="s">
        <v>31</v>
      </c>
      <c r="E14" s="2" t="str">
        <f t="shared" si="0"/>
        <v>A</v>
      </c>
      <c r="F14" s="1">
        <v>52</v>
      </c>
      <c r="G14" s="1">
        <v>91</v>
      </c>
      <c r="H14" s="1">
        <v>86</v>
      </c>
      <c r="I14" s="1">
        <v>92</v>
      </c>
      <c r="J14" s="1">
        <v>66</v>
      </c>
      <c r="K14" s="1">
        <v>58</v>
      </c>
      <c r="L14" s="1">
        <v>57</v>
      </c>
      <c r="M14" s="1">
        <v>84</v>
      </c>
      <c r="N14" s="1">
        <f t="shared" si="1"/>
        <v>586</v>
      </c>
      <c r="O14" s="1">
        <v>800</v>
      </c>
      <c r="P14" s="3">
        <v>0.89</v>
      </c>
      <c r="Q14" s="4" t="s">
        <v>59</v>
      </c>
      <c r="R14" s="4" t="s">
        <v>61</v>
      </c>
    </row>
    <row r="15" spans="1:18" ht="15.75" x14ac:dyDescent="0.25">
      <c r="A15" s="6" t="s">
        <v>70</v>
      </c>
      <c r="B15" s="1" t="s">
        <v>30</v>
      </c>
      <c r="C15" s="1" t="s">
        <v>93</v>
      </c>
      <c r="D15" s="1" t="s">
        <v>14</v>
      </c>
      <c r="E15" s="2" t="str">
        <f t="shared" si="0"/>
        <v>B</v>
      </c>
      <c r="F15" s="1">
        <v>96</v>
      </c>
      <c r="G15" s="1">
        <v>78</v>
      </c>
      <c r="H15" s="1">
        <v>95</v>
      </c>
      <c r="I15" s="1">
        <v>53</v>
      </c>
      <c r="J15" s="1">
        <v>78</v>
      </c>
      <c r="K15" s="1">
        <v>94</v>
      </c>
      <c r="L15" s="1">
        <v>57</v>
      </c>
      <c r="M15" s="1">
        <v>54</v>
      </c>
      <c r="N15" s="1">
        <f t="shared" si="1"/>
        <v>605</v>
      </c>
      <c r="O15" s="1">
        <v>800</v>
      </c>
      <c r="P15" s="3">
        <v>0.61</v>
      </c>
      <c r="Q15" s="4" t="s">
        <v>59</v>
      </c>
      <c r="R15" s="4" t="s">
        <v>62</v>
      </c>
    </row>
    <row r="16" spans="1:18" ht="15.75" x14ac:dyDescent="0.25">
      <c r="A16" s="6" t="s">
        <v>71</v>
      </c>
      <c r="B16" s="1" t="s">
        <v>94</v>
      </c>
      <c r="C16" s="1" t="s">
        <v>95</v>
      </c>
      <c r="D16" s="1" t="s">
        <v>31</v>
      </c>
      <c r="E16" s="2" t="str">
        <f t="shared" si="0"/>
        <v>A</v>
      </c>
      <c r="F16" s="1">
        <v>83</v>
      </c>
      <c r="G16" s="1">
        <v>44</v>
      </c>
      <c r="H16" s="1">
        <v>41</v>
      </c>
      <c r="I16" s="1">
        <v>56</v>
      </c>
      <c r="J16" s="1">
        <v>75</v>
      </c>
      <c r="K16" s="1">
        <v>48</v>
      </c>
      <c r="L16" s="1">
        <v>58</v>
      </c>
      <c r="M16" s="1">
        <v>95</v>
      </c>
      <c r="N16" s="1">
        <f t="shared" si="1"/>
        <v>500</v>
      </c>
      <c r="O16" s="1">
        <v>800</v>
      </c>
      <c r="P16" s="3">
        <v>0.63</v>
      </c>
      <c r="Q16" s="4" t="s">
        <v>59</v>
      </c>
      <c r="R16" s="4" t="s">
        <v>62</v>
      </c>
    </row>
    <row r="17" spans="1:18" ht="15.75" x14ac:dyDescent="0.25">
      <c r="A17" s="6" t="s">
        <v>72</v>
      </c>
      <c r="B17" s="1" t="s">
        <v>40</v>
      </c>
      <c r="C17" s="1" t="s">
        <v>96</v>
      </c>
      <c r="D17" s="1" t="s">
        <v>31</v>
      </c>
      <c r="E17" s="2" t="str">
        <f t="shared" si="0"/>
        <v>A</v>
      </c>
      <c r="F17" s="1">
        <v>96</v>
      </c>
      <c r="G17" s="1">
        <v>56</v>
      </c>
      <c r="H17" s="1">
        <v>74</v>
      </c>
      <c r="I17" s="1">
        <v>68</v>
      </c>
      <c r="J17" s="1">
        <v>59</v>
      </c>
      <c r="K17" s="1">
        <v>96</v>
      </c>
      <c r="L17" s="1">
        <v>83</v>
      </c>
      <c r="M17" s="1">
        <v>71</v>
      </c>
      <c r="N17" s="1">
        <f t="shared" si="1"/>
        <v>603</v>
      </c>
      <c r="O17" s="1">
        <v>800</v>
      </c>
      <c r="P17" s="3">
        <v>0.48</v>
      </c>
      <c r="Q17" s="4" t="s">
        <v>59</v>
      </c>
      <c r="R17" s="4" t="s">
        <v>62</v>
      </c>
    </row>
    <row r="18" spans="1:18" ht="15.75" x14ac:dyDescent="0.25">
      <c r="A18" s="6" t="s">
        <v>73</v>
      </c>
      <c r="B18" s="1" t="s">
        <v>97</v>
      </c>
      <c r="C18" s="1" t="s">
        <v>98</v>
      </c>
      <c r="D18" s="1" t="s">
        <v>31</v>
      </c>
      <c r="E18" s="2" t="str">
        <f t="shared" si="0"/>
        <v>A</v>
      </c>
      <c r="F18" s="1">
        <v>92</v>
      </c>
      <c r="G18" s="1">
        <v>49</v>
      </c>
      <c r="H18" s="1">
        <v>59</v>
      </c>
      <c r="I18" s="1">
        <v>56</v>
      </c>
      <c r="J18" s="1">
        <v>86</v>
      </c>
      <c r="K18" s="1">
        <v>89</v>
      </c>
      <c r="L18" s="1">
        <v>77</v>
      </c>
      <c r="M18" s="1">
        <v>47</v>
      </c>
      <c r="N18" s="1">
        <f t="shared" si="1"/>
        <v>555</v>
      </c>
      <c r="O18" s="1">
        <v>800</v>
      </c>
      <c r="P18" s="3">
        <v>0.59</v>
      </c>
      <c r="Q18" s="4" t="s">
        <v>59</v>
      </c>
      <c r="R18" s="4" t="s">
        <v>62</v>
      </c>
    </row>
    <row r="19" spans="1:18" ht="15.75" x14ac:dyDescent="0.25">
      <c r="A19" s="6" t="s">
        <v>74</v>
      </c>
      <c r="B19" s="1" t="s">
        <v>91</v>
      </c>
      <c r="C19" s="1" t="s">
        <v>99</v>
      </c>
      <c r="D19" s="1" t="s">
        <v>31</v>
      </c>
      <c r="E19" s="2" t="str">
        <f t="shared" si="0"/>
        <v>A</v>
      </c>
      <c r="F19" s="1">
        <v>98</v>
      </c>
      <c r="G19" s="1">
        <v>79</v>
      </c>
      <c r="H19" s="1">
        <v>60</v>
      </c>
      <c r="I19" s="1">
        <v>62</v>
      </c>
      <c r="J19" s="1">
        <v>65</v>
      </c>
      <c r="K19" s="1">
        <v>84</v>
      </c>
      <c r="L19" s="1">
        <v>72</v>
      </c>
      <c r="M19" s="1">
        <v>57</v>
      </c>
      <c r="N19" s="1">
        <f t="shared" si="1"/>
        <v>577</v>
      </c>
      <c r="O19" s="1">
        <v>800</v>
      </c>
      <c r="P19" s="3">
        <v>0.45</v>
      </c>
      <c r="Q19" s="4" t="s">
        <v>59</v>
      </c>
      <c r="R19" s="4" t="s">
        <v>61</v>
      </c>
    </row>
    <row r="20" spans="1:18" ht="15.75" x14ac:dyDescent="0.25">
      <c r="A20" s="6" t="s">
        <v>75</v>
      </c>
      <c r="B20" s="1" t="s">
        <v>100</v>
      </c>
      <c r="C20" s="1" t="s">
        <v>96</v>
      </c>
      <c r="D20" s="1" t="s">
        <v>31</v>
      </c>
      <c r="E20" s="2" t="str">
        <f t="shared" si="0"/>
        <v>A</v>
      </c>
      <c r="F20" s="1">
        <v>79</v>
      </c>
      <c r="G20" s="1">
        <v>73</v>
      </c>
      <c r="H20" s="1">
        <v>77</v>
      </c>
      <c r="I20" s="1">
        <v>95</v>
      </c>
      <c r="J20" s="1">
        <v>80</v>
      </c>
      <c r="K20" s="1">
        <v>77</v>
      </c>
      <c r="L20" s="1">
        <v>88</v>
      </c>
      <c r="M20" s="1">
        <v>89</v>
      </c>
      <c r="N20" s="1">
        <f t="shared" si="1"/>
        <v>658</v>
      </c>
      <c r="O20" s="1">
        <v>800</v>
      </c>
      <c r="P20" s="3">
        <v>0.75</v>
      </c>
      <c r="Q20" s="4" t="s">
        <v>59</v>
      </c>
      <c r="R20" s="4" t="s">
        <v>61</v>
      </c>
    </row>
    <row r="21" spans="1:18" ht="15.75" x14ac:dyDescent="0.25">
      <c r="A21" s="6" t="s">
        <v>76</v>
      </c>
      <c r="B21" s="1" t="s">
        <v>101</v>
      </c>
      <c r="C21" s="1" t="s">
        <v>102</v>
      </c>
      <c r="D21" s="1" t="s">
        <v>31</v>
      </c>
      <c r="E21" s="2" t="str">
        <f t="shared" si="0"/>
        <v>A</v>
      </c>
      <c r="F21" s="1">
        <v>100</v>
      </c>
      <c r="G21" s="1">
        <v>80</v>
      </c>
      <c r="H21" s="1">
        <v>65</v>
      </c>
      <c r="I21" s="1">
        <v>65</v>
      </c>
      <c r="J21" s="1">
        <v>56</v>
      </c>
      <c r="K21" s="1">
        <v>74</v>
      </c>
      <c r="L21" s="1">
        <v>56</v>
      </c>
      <c r="M21" s="1">
        <v>90</v>
      </c>
      <c r="N21" s="1">
        <f t="shared" si="1"/>
        <v>586</v>
      </c>
      <c r="O21" s="1">
        <v>800</v>
      </c>
      <c r="P21" s="3">
        <v>0.72</v>
      </c>
      <c r="Q21" s="4" t="s">
        <v>59</v>
      </c>
      <c r="R21" s="4" t="s">
        <v>61</v>
      </c>
    </row>
    <row r="22" spans="1:18" ht="15.75" x14ac:dyDescent="0.25">
      <c r="A22" s="6" t="s">
        <v>77</v>
      </c>
      <c r="B22" s="1" t="s">
        <v>40</v>
      </c>
      <c r="C22" s="1" t="s">
        <v>98</v>
      </c>
      <c r="D22" s="1" t="s">
        <v>31</v>
      </c>
      <c r="E22" s="2" t="str">
        <f t="shared" si="0"/>
        <v>A</v>
      </c>
      <c r="F22" s="1">
        <v>61</v>
      </c>
      <c r="G22" s="1">
        <v>53</v>
      </c>
      <c r="H22" s="1">
        <v>44</v>
      </c>
      <c r="I22" s="1">
        <v>58</v>
      </c>
      <c r="J22" s="1">
        <v>80</v>
      </c>
      <c r="K22" s="1">
        <v>68</v>
      </c>
      <c r="L22" s="1">
        <v>88</v>
      </c>
      <c r="M22" s="1">
        <v>89</v>
      </c>
      <c r="N22" s="1">
        <f t="shared" si="1"/>
        <v>541</v>
      </c>
      <c r="O22" s="1">
        <v>800</v>
      </c>
      <c r="P22" s="3">
        <v>0.68</v>
      </c>
      <c r="Q22" s="4" t="s">
        <v>59</v>
      </c>
      <c r="R22" s="4" t="s">
        <v>60</v>
      </c>
    </row>
    <row r="23" spans="1:18" ht="15.75" x14ac:dyDescent="0.25">
      <c r="A23" s="6" t="s">
        <v>78</v>
      </c>
      <c r="B23" s="1" t="s">
        <v>103</v>
      </c>
      <c r="C23" s="1" t="s">
        <v>32</v>
      </c>
      <c r="D23" s="1" t="s">
        <v>14</v>
      </c>
      <c r="E23" s="2" t="str">
        <f t="shared" si="0"/>
        <v>B</v>
      </c>
      <c r="F23" s="1">
        <v>56</v>
      </c>
      <c r="G23" s="1">
        <v>70</v>
      </c>
      <c r="H23" s="1">
        <v>93</v>
      </c>
      <c r="I23" s="1">
        <v>87</v>
      </c>
      <c r="J23" s="1">
        <v>69</v>
      </c>
      <c r="K23" s="1">
        <v>82</v>
      </c>
      <c r="L23" s="1">
        <v>79</v>
      </c>
      <c r="M23" s="1">
        <v>57</v>
      </c>
      <c r="N23" s="1">
        <f t="shared" si="1"/>
        <v>593</v>
      </c>
      <c r="O23" s="1">
        <v>800</v>
      </c>
      <c r="P23" s="3">
        <v>0.49</v>
      </c>
      <c r="Q23" s="4" t="s">
        <v>59</v>
      </c>
      <c r="R23" s="4" t="s">
        <v>60</v>
      </c>
    </row>
    <row r="24" spans="1:18" ht="15.75" x14ac:dyDescent="0.25">
      <c r="A24" s="6" t="s">
        <v>79</v>
      </c>
      <c r="B24" s="1" t="s">
        <v>104</v>
      </c>
      <c r="C24" s="1" t="s">
        <v>105</v>
      </c>
      <c r="D24" s="1" t="s">
        <v>31</v>
      </c>
      <c r="E24" s="2" t="str">
        <f t="shared" si="0"/>
        <v>A</v>
      </c>
      <c r="F24" s="1">
        <v>57</v>
      </c>
      <c r="G24" s="1">
        <v>71</v>
      </c>
      <c r="H24" s="1">
        <v>62</v>
      </c>
      <c r="I24" s="1">
        <v>63</v>
      </c>
      <c r="J24" s="1">
        <v>42</v>
      </c>
      <c r="K24" s="1">
        <v>89</v>
      </c>
      <c r="L24" s="1">
        <v>59</v>
      </c>
      <c r="M24" s="1">
        <v>73</v>
      </c>
      <c r="N24" s="1">
        <f t="shared" si="1"/>
        <v>516</v>
      </c>
      <c r="O24" s="1">
        <v>800</v>
      </c>
      <c r="P24" s="3">
        <v>0.83</v>
      </c>
      <c r="Q24" s="4" t="s">
        <v>15</v>
      </c>
      <c r="R24" s="4" t="s">
        <v>61</v>
      </c>
    </row>
    <row r="25" spans="1:18" ht="15.75" x14ac:dyDescent="0.25">
      <c r="A25" s="6" t="s">
        <v>80</v>
      </c>
      <c r="B25" s="1" t="s">
        <v>106</v>
      </c>
      <c r="C25" s="1" t="s">
        <v>107</v>
      </c>
      <c r="D25" s="1" t="s">
        <v>31</v>
      </c>
      <c r="E25" s="2" t="str">
        <f t="shared" si="0"/>
        <v>A</v>
      </c>
      <c r="F25" s="1">
        <v>69</v>
      </c>
      <c r="G25" s="1">
        <v>97</v>
      </c>
      <c r="H25" s="1">
        <v>98</v>
      </c>
      <c r="I25" s="1">
        <v>50</v>
      </c>
      <c r="J25" s="1">
        <v>54</v>
      </c>
      <c r="K25" s="1">
        <v>67</v>
      </c>
      <c r="L25" s="1">
        <v>45</v>
      </c>
      <c r="M25" s="1">
        <v>71</v>
      </c>
      <c r="N25" s="1">
        <f t="shared" si="1"/>
        <v>551</v>
      </c>
      <c r="O25" s="1">
        <v>800</v>
      </c>
      <c r="P25" s="3">
        <v>0.98</v>
      </c>
      <c r="Q25" s="4" t="s">
        <v>15</v>
      </c>
      <c r="R25" s="4" t="s">
        <v>61</v>
      </c>
    </row>
    <row r="26" spans="1:18" ht="15.75" x14ac:dyDescent="0.25">
      <c r="A26" s="6" t="s">
        <v>81</v>
      </c>
      <c r="B26" s="1" t="s">
        <v>108</v>
      </c>
      <c r="C26" s="1" t="s">
        <v>109</v>
      </c>
      <c r="D26" s="1" t="s">
        <v>14</v>
      </c>
      <c r="E26" s="2" t="str">
        <f t="shared" si="0"/>
        <v>B</v>
      </c>
      <c r="F26" s="1">
        <v>40</v>
      </c>
      <c r="G26" s="1">
        <v>88</v>
      </c>
      <c r="H26" s="1">
        <v>41</v>
      </c>
      <c r="I26" s="1">
        <v>75</v>
      </c>
      <c r="J26" s="1">
        <v>76</v>
      </c>
      <c r="K26" s="1">
        <v>99</v>
      </c>
      <c r="L26" s="1">
        <v>100</v>
      </c>
      <c r="M26" s="1">
        <v>69</v>
      </c>
      <c r="N26" s="1">
        <f t="shared" si="1"/>
        <v>588</v>
      </c>
      <c r="O26" s="1">
        <v>800</v>
      </c>
      <c r="P26" s="3">
        <v>0.72</v>
      </c>
      <c r="Q26" s="4" t="s">
        <v>15</v>
      </c>
      <c r="R26" s="4" t="s">
        <v>62</v>
      </c>
    </row>
    <row r="27" spans="1:18" ht="15.75" x14ac:dyDescent="0.25">
      <c r="A27" s="6" t="s">
        <v>82</v>
      </c>
      <c r="B27" s="1" t="s">
        <v>110</v>
      </c>
      <c r="C27" s="1" t="s">
        <v>111</v>
      </c>
      <c r="D27" s="1" t="s">
        <v>14</v>
      </c>
      <c r="E27" s="2" t="str">
        <f t="shared" si="0"/>
        <v>B</v>
      </c>
      <c r="F27" s="1">
        <v>87</v>
      </c>
      <c r="G27" s="1">
        <v>73</v>
      </c>
      <c r="H27" s="1">
        <v>86</v>
      </c>
      <c r="I27" s="1">
        <v>89</v>
      </c>
      <c r="J27" s="1">
        <v>42</v>
      </c>
      <c r="K27" s="1">
        <v>46</v>
      </c>
      <c r="L27" s="1">
        <v>62</v>
      </c>
      <c r="M27" s="1">
        <v>65</v>
      </c>
      <c r="N27" s="1">
        <f t="shared" si="1"/>
        <v>550</v>
      </c>
      <c r="O27" s="1">
        <v>800</v>
      </c>
      <c r="P27" s="3">
        <v>0.65</v>
      </c>
      <c r="Q27" s="4" t="s">
        <v>15</v>
      </c>
      <c r="R27" s="4" t="s">
        <v>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6:R27"/>
  <sheetViews>
    <sheetView topLeftCell="A7" workbookViewId="0">
      <selection activeCell="C28" sqref="C28"/>
    </sheetView>
  </sheetViews>
  <sheetFormatPr defaultRowHeight="15" x14ac:dyDescent="0.25"/>
  <cols>
    <col min="1" max="1" width="11.85546875" customWidth="1"/>
    <col min="2" max="2" width="13.85546875" customWidth="1"/>
    <col min="3" max="3" width="17" customWidth="1"/>
    <col min="4" max="5" width="11.85546875" customWidth="1"/>
    <col min="6" max="6" width="9.28515625" customWidth="1"/>
    <col min="7" max="7" width="9.140625" customWidth="1"/>
    <col min="8" max="8" width="8.140625" customWidth="1"/>
    <col min="9" max="9" width="8" customWidth="1"/>
    <col min="10" max="10" width="9.7109375" customWidth="1"/>
    <col min="11" max="11" width="10.85546875" customWidth="1"/>
    <col min="12" max="12" width="9.42578125" customWidth="1"/>
    <col min="13" max="13" width="10.140625" customWidth="1"/>
    <col min="14" max="14" width="14.140625" customWidth="1"/>
    <col min="15" max="15" width="11.85546875" customWidth="1"/>
    <col min="16" max="16" width="13.140625" customWidth="1"/>
    <col min="17" max="18" width="11.85546875" customWidth="1"/>
  </cols>
  <sheetData>
    <row r="6" spans="1:18" ht="15.75" thickBot="1" x14ac:dyDescent="0.3"/>
    <row r="7" spans="1:18" s="15" customFormat="1" ht="32.25" thickBot="1" x14ac:dyDescent="0.3">
      <c r="A7" s="10" t="s">
        <v>19</v>
      </c>
      <c r="B7" s="11" t="s">
        <v>0</v>
      </c>
      <c r="C7" s="11" t="s">
        <v>1</v>
      </c>
      <c r="D7" s="11" t="s">
        <v>2</v>
      </c>
      <c r="E7" s="11" t="s">
        <v>3</v>
      </c>
      <c r="F7" s="11" t="s">
        <v>4</v>
      </c>
      <c r="G7" s="11" t="s">
        <v>5</v>
      </c>
      <c r="H7" s="11" t="s">
        <v>6</v>
      </c>
      <c r="I7" s="11" t="s">
        <v>7</v>
      </c>
      <c r="J7" s="11" t="s">
        <v>8</v>
      </c>
      <c r="K7" s="11" t="s">
        <v>16</v>
      </c>
      <c r="L7" s="11" t="s">
        <v>17</v>
      </c>
      <c r="M7" s="11" t="s">
        <v>18</v>
      </c>
      <c r="N7" s="11" t="s">
        <v>9</v>
      </c>
      <c r="O7" s="11" t="s">
        <v>10</v>
      </c>
      <c r="P7" s="11" t="s">
        <v>11</v>
      </c>
      <c r="Q7" s="11" t="s">
        <v>12</v>
      </c>
      <c r="R7" s="12" t="s">
        <v>13</v>
      </c>
    </row>
    <row r="8" spans="1:18" s="15" customFormat="1" ht="15.75" x14ac:dyDescent="0.25">
      <c r="A8" s="6" t="s">
        <v>112</v>
      </c>
      <c r="B8" s="7" t="s">
        <v>132</v>
      </c>
      <c r="C8" s="7" t="s">
        <v>111</v>
      </c>
      <c r="D8" s="7" t="s">
        <v>31</v>
      </c>
      <c r="E8" s="8" t="str">
        <f>IF(D8="Female","A","B")</f>
        <v>A</v>
      </c>
      <c r="F8" s="16">
        <f ca="1">RANDBETWEEN(40,100)</f>
        <v>74</v>
      </c>
      <c r="G8" s="16">
        <f t="shared" ref="G8:M23" ca="1" si="0">RANDBETWEEN(40,100)</f>
        <v>75</v>
      </c>
      <c r="H8" s="16">
        <f t="shared" ca="1" si="0"/>
        <v>47</v>
      </c>
      <c r="I8" s="16">
        <f t="shared" ca="1" si="0"/>
        <v>60</v>
      </c>
      <c r="J8" s="16">
        <f t="shared" ca="1" si="0"/>
        <v>73</v>
      </c>
      <c r="K8" s="16">
        <f t="shared" ca="1" si="0"/>
        <v>70</v>
      </c>
      <c r="L8" s="16">
        <f t="shared" ca="1" si="0"/>
        <v>99</v>
      </c>
      <c r="M8" s="16">
        <f t="shared" ca="1" si="0"/>
        <v>96</v>
      </c>
      <c r="N8" s="7">
        <f ca="1">SUM(F8:M8)</f>
        <v>594</v>
      </c>
      <c r="O8" s="7">
        <v>800</v>
      </c>
      <c r="P8" s="9">
        <v>0.68</v>
      </c>
      <c r="Q8" s="6" t="s">
        <v>15</v>
      </c>
      <c r="R8" s="6" t="s">
        <v>60</v>
      </c>
    </row>
    <row r="9" spans="1:18" s="15" customFormat="1" ht="15.75" x14ac:dyDescent="0.25">
      <c r="A9" s="4" t="s">
        <v>113</v>
      </c>
      <c r="B9" s="1" t="s">
        <v>133</v>
      </c>
      <c r="C9" s="1" t="s">
        <v>96</v>
      </c>
      <c r="D9" s="1" t="s">
        <v>31</v>
      </c>
      <c r="E9" s="2" t="str">
        <f t="shared" ref="E9:E27" si="1">IF(D9="Female","A","B")</f>
        <v>A</v>
      </c>
      <c r="F9" s="14">
        <f t="shared" ref="F9:M27" ca="1" si="2">RANDBETWEEN(40,100)</f>
        <v>74</v>
      </c>
      <c r="G9" s="14">
        <f t="shared" ca="1" si="0"/>
        <v>76</v>
      </c>
      <c r="H9" s="14">
        <f t="shared" ca="1" si="0"/>
        <v>80</v>
      </c>
      <c r="I9" s="14">
        <f t="shared" ca="1" si="0"/>
        <v>45</v>
      </c>
      <c r="J9" s="14">
        <f t="shared" ca="1" si="0"/>
        <v>46</v>
      </c>
      <c r="K9" s="14">
        <f t="shared" ca="1" si="0"/>
        <v>49</v>
      </c>
      <c r="L9" s="14">
        <f t="shared" ca="1" si="0"/>
        <v>62</v>
      </c>
      <c r="M9" s="14">
        <f t="shared" ca="1" si="0"/>
        <v>87</v>
      </c>
      <c r="N9" s="1">
        <f t="shared" ref="N9:N27" ca="1" si="3">SUM(F9:M9)</f>
        <v>519</v>
      </c>
      <c r="O9" s="1">
        <v>800</v>
      </c>
      <c r="P9" s="3">
        <v>0.8</v>
      </c>
      <c r="Q9" s="4" t="s">
        <v>15</v>
      </c>
      <c r="R9" s="4" t="s">
        <v>60</v>
      </c>
    </row>
    <row r="10" spans="1:18" s="15" customFormat="1" ht="15.75" x14ac:dyDescent="0.25">
      <c r="A10" s="4" t="s">
        <v>114</v>
      </c>
      <c r="B10" s="1" t="s">
        <v>134</v>
      </c>
      <c r="C10" s="1" t="s">
        <v>98</v>
      </c>
      <c r="D10" s="1" t="s">
        <v>14</v>
      </c>
      <c r="E10" s="2" t="str">
        <f t="shared" si="1"/>
        <v>B</v>
      </c>
      <c r="F10" s="14">
        <f t="shared" ca="1" si="2"/>
        <v>74</v>
      </c>
      <c r="G10" s="14">
        <f t="shared" ca="1" si="0"/>
        <v>77</v>
      </c>
      <c r="H10" s="14">
        <f t="shared" ca="1" si="0"/>
        <v>76</v>
      </c>
      <c r="I10" s="14">
        <f t="shared" ca="1" si="0"/>
        <v>68</v>
      </c>
      <c r="J10" s="14">
        <f t="shared" ca="1" si="0"/>
        <v>53</v>
      </c>
      <c r="K10" s="14">
        <f t="shared" ca="1" si="0"/>
        <v>96</v>
      </c>
      <c r="L10" s="14">
        <f t="shared" ca="1" si="0"/>
        <v>70</v>
      </c>
      <c r="M10" s="14">
        <f t="shared" ca="1" si="0"/>
        <v>41</v>
      </c>
      <c r="N10" s="1">
        <f t="shared" ca="1" si="3"/>
        <v>555</v>
      </c>
      <c r="O10" s="1">
        <v>800</v>
      </c>
      <c r="P10" s="3">
        <v>0.85</v>
      </c>
      <c r="Q10" s="4" t="s">
        <v>15</v>
      </c>
      <c r="R10" s="4" t="s">
        <v>60</v>
      </c>
    </row>
    <row r="11" spans="1:18" s="15" customFormat="1" ht="15.75" x14ac:dyDescent="0.25">
      <c r="A11" s="4" t="s">
        <v>115</v>
      </c>
      <c r="B11" s="1" t="s">
        <v>135</v>
      </c>
      <c r="C11" s="1" t="s">
        <v>41</v>
      </c>
      <c r="D11" s="1" t="s">
        <v>14</v>
      </c>
      <c r="E11" s="2" t="str">
        <f t="shared" si="1"/>
        <v>B</v>
      </c>
      <c r="F11" s="14">
        <f t="shared" ca="1" si="2"/>
        <v>65</v>
      </c>
      <c r="G11" s="14">
        <f t="shared" ca="1" si="0"/>
        <v>53</v>
      </c>
      <c r="H11" s="14">
        <f t="shared" ca="1" si="0"/>
        <v>49</v>
      </c>
      <c r="I11" s="14">
        <f t="shared" ca="1" si="0"/>
        <v>100</v>
      </c>
      <c r="J11" s="14">
        <f t="shared" ca="1" si="0"/>
        <v>50</v>
      </c>
      <c r="K11" s="14">
        <f t="shared" ca="1" si="0"/>
        <v>48</v>
      </c>
      <c r="L11" s="14">
        <f t="shared" ca="1" si="0"/>
        <v>57</v>
      </c>
      <c r="M11" s="14">
        <f t="shared" ca="1" si="0"/>
        <v>70</v>
      </c>
      <c r="N11" s="1">
        <f t="shared" ca="1" si="3"/>
        <v>492</v>
      </c>
      <c r="O11" s="1">
        <v>800</v>
      </c>
      <c r="P11" s="3">
        <v>0.7</v>
      </c>
      <c r="Q11" s="4" t="s">
        <v>15</v>
      </c>
      <c r="R11" s="4" t="s">
        <v>60</v>
      </c>
    </row>
    <row r="12" spans="1:18" s="15" customFormat="1" ht="15.75" x14ac:dyDescent="0.25">
      <c r="A12" s="4" t="s">
        <v>116</v>
      </c>
      <c r="B12" s="1" t="s">
        <v>136</v>
      </c>
      <c r="C12" s="1" t="s">
        <v>93</v>
      </c>
      <c r="D12" s="1" t="s">
        <v>31</v>
      </c>
      <c r="E12" s="2" t="str">
        <f t="shared" si="1"/>
        <v>A</v>
      </c>
      <c r="F12" s="14">
        <f t="shared" ca="1" si="2"/>
        <v>51</v>
      </c>
      <c r="G12" s="14">
        <f t="shared" ca="1" si="0"/>
        <v>73</v>
      </c>
      <c r="H12" s="14">
        <f t="shared" ca="1" si="0"/>
        <v>50</v>
      </c>
      <c r="I12" s="14">
        <f t="shared" ca="1" si="0"/>
        <v>88</v>
      </c>
      <c r="J12" s="14">
        <f t="shared" ca="1" si="0"/>
        <v>78</v>
      </c>
      <c r="K12" s="14">
        <f t="shared" ca="1" si="0"/>
        <v>77</v>
      </c>
      <c r="L12" s="14">
        <f t="shared" ca="1" si="0"/>
        <v>70</v>
      </c>
      <c r="M12" s="14">
        <f t="shared" ca="1" si="0"/>
        <v>93</v>
      </c>
      <c r="N12" s="1">
        <f t="shared" ca="1" si="3"/>
        <v>580</v>
      </c>
      <c r="O12" s="1">
        <v>800</v>
      </c>
      <c r="P12" s="3">
        <v>0.65</v>
      </c>
      <c r="Q12" s="4" t="s">
        <v>15</v>
      </c>
      <c r="R12" s="4" t="s">
        <v>60</v>
      </c>
    </row>
    <row r="13" spans="1:18" s="15" customFormat="1" ht="15.75" x14ac:dyDescent="0.25">
      <c r="A13" s="4" t="s">
        <v>117</v>
      </c>
      <c r="B13" s="1" t="s">
        <v>137</v>
      </c>
      <c r="C13" s="1" t="s">
        <v>138</v>
      </c>
      <c r="D13" s="1" t="s">
        <v>31</v>
      </c>
      <c r="E13" s="2" t="str">
        <f t="shared" si="1"/>
        <v>A</v>
      </c>
      <c r="F13" s="14">
        <f t="shared" ca="1" si="2"/>
        <v>66</v>
      </c>
      <c r="G13" s="14">
        <f t="shared" ca="1" si="0"/>
        <v>58</v>
      </c>
      <c r="H13" s="14">
        <f t="shared" ca="1" si="0"/>
        <v>93</v>
      </c>
      <c r="I13" s="14">
        <f t="shared" ca="1" si="0"/>
        <v>43</v>
      </c>
      <c r="J13" s="14">
        <f t="shared" ca="1" si="0"/>
        <v>47</v>
      </c>
      <c r="K13" s="14">
        <f t="shared" ca="1" si="0"/>
        <v>40</v>
      </c>
      <c r="L13" s="14">
        <f t="shared" ca="1" si="0"/>
        <v>58</v>
      </c>
      <c r="M13" s="14">
        <f t="shared" ca="1" si="0"/>
        <v>71</v>
      </c>
      <c r="N13" s="1">
        <f t="shared" ca="1" si="3"/>
        <v>476</v>
      </c>
      <c r="O13" s="1">
        <v>800</v>
      </c>
      <c r="P13" s="3">
        <v>0.8</v>
      </c>
      <c r="Q13" s="4" t="s">
        <v>59</v>
      </c>
      <c r="R13" s="4" t="s">
        <v>61</v>
      </c>
    </row>
    <row r="14" spans="1:18" s="15" customFormat="1" ht="15.75" x14ac:dyDescent="0.25">
      <c r="A14" s="4" t="s">
        <v>118</v>
      </c>
      <c r="B14" s="1" t="s">
        <v>139</v>
      </c>
      <c r="C14" s="1" t="s">
        <v>138</v>
      </c>
      <c r="D14" s="1" t="s">
        <v>31</v>
      </c>
      <c r="E14" s="2" t="str">
        <f t="shared" si="1"/>
        <v>A</v>
      </c>
      <c r="F14" s="14">
        <f t="shared" ca="1" si="2"/>
        <v>71</v>
      </c>
      <c r="G14" s="14">
        <f t="shared" ca="1" si="0"/>
        <v>66</v>
      </c>
      <c r="H14" s="14">
        <f t="shared" ca="1" si="0"/>
        <v>81</v>
      </c>
      <c r="I14" s="14">
        <f t="shared" ca="1" si="0"/>
        <v>52</v>
      </c>
      <c r="J14" s="14">
        <f t="shared" ca="1" si="0"/>
        <v>60</v>
      </c>
      <c r="K14" s="14">
        <f t="shared" ca="1" si="0"/>
        <v>42</v>
      </c>
      <c r="L14" s="14">
        <f t="shared" ca="1" si="0"/>
        <v>90</v>
      </c>
      <c r="M14" s="14">
        <f t="shared" ca="1" si="0"/>
        <v>93</v>
      </c>
      <c r="N14" s="1">
        <f t="shared" ca="1" si="3"/>
        <v>555</v>
      </c>
      <c r="O14" s="1">
        <v>800</v>
      </c>
      <c r="P14" s="3">
        <v>0.89</v>
      </c>
      <c r="Q14" s="4" t="s">
        <v>59</v>
      </c>
      <c r="R14" s="4" t="s">
        <v>61</v>
      </c>
    </row>
    <row r="15" spans="1:18" s="15" customFormat="1" ht="15.75" x14ac:dyDescent="0.25">
      <c r="A15" s="4" t="s">
        <v>119</v>
      </c>
      <c r="B15" s="1" t="s">
        <v>140</v>
      </c>
      <c r="C15" s="1" t="s">
        <v>99</v>
      </c>
      <c r="D15" s="1" t="s">
        <v>31</v>
      </c>
      <c r="E15" s="2" t="str">
        <f t="shared" si="1"/>
        <v>A</v>
      </c>
      <c r="F15" s="14">
        <f t="shared" ca="1" si="2"/>
        <v>98</v>
      </c>
      <c r="G15" s="14">
        <f t="shared" ca="1" si="0"/>
        <v>68</v>
      </c>
      <c r="H15" s="14">
        <f t="shared" ca="1" si="0"/>
        <v>75</v>
      </c>
      <c r="I15" s="14">
        <f t="shared" ca="1" si="0"/>
        <v>84</v>
      </c>
      <c r="J15" s="14">
        <f t="shared" ca="1" si="0"/>
        <v>76</v>
      </c>
      <c r="K15" s="14">
        <f t="shared" ca="1" si="0"/>
        <v>65</v>
      </c>
      <c r="L15" s="14">
        <f t="shared" ca="1" si="0"/>
        <v>41</v>
      </c>
      <c r="M15" s="14">
        <f t="shared" ca="1" si="0"/>
        <v>64</v>
      </c>
      <c r="N15" s="1">
        <f t="shared" ca="1" si="3"/>
        <v>571</v>
      </c>
      <c r="O15" s="1">
        <v>800</v>
      </c>
      <c r="P15" s="3">
        <v>0.61</v>
      </c>
      <c r="Q15" s="4" t="s">
        <v>59</v>
      </c>
      <c r="R15" s="4" t="s">
        <v>62</v>
      </c>
    </row>
    <row r="16" spans="1:18" s="15" customFormat="1" ht="15.75" x14ac:dyDescent="0.25">
      <c r="A16" s="4" t="s">
        <v>120</v>
      </c>
      <c r="B16" s="1" t="s">
        <v>141</v>
      </c>
      <c r="C16" s="1" t="s">
        <v>142</v>
      </c>
      <c r="D16" s="1" t="s">
        <v>31</v>
      </c>
      <c r="E16" s="2" t="str">
        <f t="shared" si="1"/>
        <v>A</v>
      </c>
      <c r="F16" s="14">
        <f t="shared" ca="1" si="2"/>
        <v>67</v>
      </c>
      <c r="G16" s="14">
        <f t="shared" ca="1" si="0"/>
        <v>97</v>
      </c>
      <c r="H16" s="14">
        <f t="shared" ca="1" si="0"/>
        <v>72</v>
      </c>
      <c r="I16" s="14">
        <f t="shared" ca="1" si="0"/>
        <v>47</v>
      </c>
      <c r="J16" s="14">
        <f t="shared" ca="1" si="0"/>
        <v>97</v>
      </c>
      <c r="K16" s="14">
        <f t="shared" ca="1" si="0"/>
        <v>73</v>
      </c>
      <c r="L16" s="14">
        <f t="shared" ca="1" si="0"/>
        <v>97</v>
      </c>
      <c r="M16" s="14">
        <f t="shared" ca="1" si="0"/>
        <v>53</v>
      </c>
      <c r="N16" s="1">
        <f t="shared" ca="1" si="3"/>
        <v>603</v>
      </c>
      <c r="O16" s="1">
        <v>800</v>
      </c>
      <c r="P16" s="3">
        <v>0.63</v>
      </c>
      <c r="Q16" s="4" t="s">
        <v>59</v>
      </c>
      <c r="R16" s="4" t="s">
        <v>62</v>
      </c>
    </row>
    <row r="17" spans="1:18" s="15" customFormat="1" ht="15.75" x14ac:dyDescent="0.25">
      <c r="A17" s="4" t="s">
        <v>121</v>
      </c>
      <c r="B17" s="1" t="s">
        <v>143</v>
      </c>
      <c r="C17" s="1" t="s">
        <v>142</v>
      </c>
      <c r="D17" s="1" t="s">
        <v>31</v>
      </c>
      <c r="E17" s="2" t="str">
        <f t="shared" si="1"/>
        <v>A</v>
      </c>
      <c r="F17" s="14">
        <f t="shared" ca="1" si="2"/>
        <v>51</v>
      </c>
      <c r="G17" s="14">
        <f t="shared" ca="1" si="0"/>
        <v>42</v>
      </c>
      <c r="H17" s="14">
        <f t="shared" ca="1" si="0"/>
        <v>72</v>
      </c>
      <c r="I17" s="14">
        <f t="shared" ca="1" si="0"/>
        <v>84</v>
      </c>
      <c r="J17" s="14">
        <f t="shared" ca="1" si="0"/>
        <v>64</v>
      </c>
      <c r="K17" s="14">
        <f t="shared" ca="1" si="0"/>
        <v>66</v>
      </c>
      <c r="L17" s="14">
        <f t="shared" ca="1" si="0"/>
        <v>48</v>
      </c>
      <c r="M17" s="14">
        <f t="shared" ca="1" si="0"/>
        <v>57</v>
      </c>
      <c r="N17" s="1">
        <f t="shared" ca="1" si="3"/>
        <v>484</v>
      </c>
      <c r="O17" s="1">
        <v>800</v>
      </c>
      <c r="P17" s="3">
        <v>0.48</v>
      </c>
      <c r="Q17" s="4" t="s">
        <v>59</v>
      </c>
      <c r="R17" s="4" t="s">
        <v>62</v>
      </c>
    </row>
    <row r="18" spans="1:18" s="15" customFormat="1" ht="15.75" x14ac:dyDescent="0.25">
      <c r="A18" s="4" t="s">
        <v>122</v>
      </c>
      <c r="B18" s="1" t="s">
        <v>144</v>
      </c>
      <c r="C18" s="1" t="s">
        <v>98</v>
      </c>
      <c r="D18" s="1" t="s">
        <v>31</v>
      </c>
      <c r="E18" s="2" t="str">
        <f t="shared" si="1"/>
        <v>A</v>
      </c>
      <c r="F18" s="14">
        <f t="shared" ca="1" si="2"/>
        <v>95</v>
      </c>
      <c r="G18" s="14">
        <f t="shared" ca="1" si="0"/>
        <v>63</v>
      </c>
      <c r="H18" s="14">
        <f t="shared" ca="1" si="0"/>
        <v>54</v>
      </c>
      <c r="I18" s="14">
        <f t="shared" ca="1" si="0"/>
        <v>93</v>
      </c>
      <c r="J18" s="14">
        <f t="shared" ca="1" si="0"/>
        <v>63</v>
      </c>
      <c r="K18" s="14">
        <f t="shared" ca="1" si="0"/>
        <v>54</v>
      </c>
      <c r="L18" s="14">
        <f t="shared" ca="1" si="0"/>
        <v>61</v>
      </c>
      <c r="M18" s="14">
        <f t="shared" ca="1" si="0"/>
        <v>71</v>
      </c>
      <c r="N18" s="1">
        <f t="shared" ca="1" si="3"/>
        <v>554</v>
      </c>
      <c r="O18" s="1">
        <v>800</v>
      </c>
      <c r="P18" s="3">
        <v>0.59</v>
      </c>
      <c r="Q18" s="4" t="s">
        <v>59</v>
      </c>
      <c r="R18" s="4" t="s">
        <v>62</v>
      </c>
    </row>
    <row r="19" spans="1:18" s="15" customFormat="1" ht="15.75" x14ac:dyDescent="0.25">
      <c r="A19" s="4" t="s">
        <v>123</v>
      </c>
      <c r="B19" s="2" t="s">
        <v>145</v>
      </c>
      <c r="C19" s="2" t="s">
        <v>152</v>
      </c>
      <c r="D19" s="2" t="s">
        <v>31</v>
      </c>
      <c r="E19" s="2" t="str">
        <f t="shared" si="1"/>
        <v>A</v>
      </c>
      <c r="F19" s="14">
        <f t="shared" ca="1" si="2"/>
        <v>76</v>
      </c>
      <c r="G19" s="14">
        <f t="shared" ca="1" si="0"/>
        <v>65</v>
      </c>
      <c r="H19" s="14">
        <f t="shared" ca="1" si="0"/>
        <v>96</v>
      </c>
      <c r="I19" s="14">
        <f t="shared" ca="1" si="0"/>
        <v>97</v>
      </c>
      <c r="J19" s="14">
        <f t="shared" ca="1" si="0"/>
        <v>78</v>
      </c>
      <c r="K19" s="14">
        <f t="shared" ca="1" si="0"/>
        <v>52</v>
      </c>
      <c r="L19" s="14">
        <f t="shared" ca="1" si="0"/>
        <v>68</v>
      </c>
      <c r="M19" s="14">
        <f t="shared" ca="1" si="0"/>
        <v>78</v>
      </c>
      <c r="N19" s="1">
        <f t="shared" ca="1" si="3"/>
        <v>610</v>
      </c>
      <c r="O19" s="1">
        <v>800</v>
      </c>
      <c r="P19" s="3">
        <v>0.45</v>
      </c>
      <c r="Q19" s="4" t="s">
        <v>59</v>
      </c>
      <c r="R19" s="4" t="s">
        <v>61</v>
      </c>
    </row>
    <row r="20" spans="1:18" s="15" customFormat="1" ht="15.75" x14ac:dyDescent="0.25">
      <c r="A20" s="4" t="s">
        <v>124</v>
      </c>
      <c r="B20" s="2" t="s">
        <v>146</v>
      </c>
      <c r="C20" s="2" t="s">
        <v>147</v>
      </c>
      <c r="D20" s="2" t="s">
        <v>31</v>
      </c>
      <c r="E20" s="2" t="str">
        <f t="shared" si="1"/>
        <v>A</v>
      </c>
      <c r="F20" s="14">
        <f t="shared" ca="1" si="2"/>
        <v>86</v>
      </c>
      <c r="G20" s="14">
        <f t="shared" ca="1" si="0"/>
        <v>99</v>
      </c>
      <c r="H20" s="14">
        <f t="shared" ca="1" si="0"/>
        <v>65</v>
      </c>
      <c r="I20" s="14">
        <f t="shared" ca="1" si="0"/>
        <v>100</v>
      </c>
      <c r="J20" s="14">
        <f t="shared" ca="1" si="0"/>
        <v>61</v>
      </c>
      <c r="K20" s="14">
        <f t="shared" ca="1" si="0"/>
        <v>77</v>
      </c>
      <c r="L20" s="14">
        <f t="shared" ca="1" si="0"/>
        <v>45</v>
      </c>
      <c r="M20" s="14">
        <f t="shared" ca="1" si="0"/>
        <v>81</v>
      </c>
      <c r="N20" s="1">
        <f t="shared" ca="1" si="3"/>
        <v>614</v>
      </c>
      <c r="O20" s="1">
        <v>800</v>
      </c>
      <c r="P20" s="3">
        <v>0.75</v>
      </c>
      <c r="Q20" s="4" t="s">
        <v>59</v>
      </c>
      <c r="R20" s="4" t="s">
        <v>61</v>
      </c>
    </row>
    <row r="21" spans="1:18" s="15" customFormat="1" ht="15.75" x14ac:dyDescent="0.25">
      <c r="A21" s="4" t="s">
        <v>125</v>
      </c>
      <c r="B21" s="2" t="s">
        <v>148</v>
      </c>
      <c r="C21" s="2" t="s">
        <v>149</v>
      </c>
      <c r="D21" s="2" t="s">
        <v>31</v>
      </c>
      <c r="E21" s="2" t="str">
        <f t="shared" si="1"/>
        <v>A</v>
      </c>
      <c r="F21" s="14">
        <f t="shared" ca="1" si="2"/>
        <v>97</v>
      </c>
      <c r="G21" s="14">
        <f t="shared" ca="1" si="0"/>
        <v>71</v>
      </c>
      <c r="H21" s="14">
        <f t="shared" ca="1" si="0"/>
        <v>46</v>
      </c>
      <c r="I21" s="14">
        <f t="shared" ca="1" si="0"/>
        <v>43</v>
      </c>
      <c r="J21" s="14">
        <f t="shared" ca="1" si="0"/>
        <v>86</v>
      </c>
      <c r="K21" s="14">
        <f t="shared" ca="1" si="0"/>
        <v>68</v>
      </c>
      <c r="L21" s="14">
        <f t="shared" ca="1" si="0"/>
        <v>41</v>
      </c>
      <c r="M21" s="14">
        <f t="shared" ca="1" si="0"/>
        <v>71</v>
      </c>
      <c r="N21" s="1">
        <f t="shared" ca="1" si="3"/>
        <v>523</v>
      </c>
      <c r="O21" s="1">
        <v>800</v>
      </c>
      <c r="P21" s="3">
        <v>0.72</v>
      </c>
      <c r="Q21" s="4" t="s">
        <v>59</v>
      </c>
      <c r="R21" s="4" t="s">
        <v>61</v>
      </c>
    </row>
    <row r="22" spans="1:18" s="15" customFormat="1" ht="15.75" x14ac:dyDescent="0.25">
      <c r="A22" s="4" t="s">
        <v>126</v>
      </c>
      <c r="B22" s="2" t="s">
        <v>153</v>
      </c>
      <c r="C22" s="2" t="s">
        <v>154</v>
      </c>
      <c r="D22" s="2" t="s">
        <v>14</v>
      </c>
      <c r="E22" s="2" t="str">
        <f t="shared" si="1"/>
        <v>B</v>
      </c>
      <c r="F22" s="14">
        <f t="shared" ca="1" si="2"/>
        <v>57</v>
      </c>
      <c r="G22" s="14">
        <f t="shared" ca="1" si="0"/>
        <v>66</v>
      </c>
      <c r="H22" s="14">
        <f t="shared" ca="1" si="0"/>
        <v>86</v>
      </c>
      <c r="I22" s="14">
        <f t="shared" ca="1" si="0"/>
        <v>68</v>
      </c>
      <c r="J22" s="14">
        <f t="shared" ca="1" si="0"/>
        <v>76</v>
      </c>
      <c r="K22" s="14">
        <f t="shared" ca="1" si="0"/>
        <v>90</v>
      </c>
      <c r="L22" s="14">
        <f t="shared" ca="1" si="0"/>
        <v>54</v>
      </c>
      <c r="M22" s="14">
        <f t="shared" ca="1" si="0"/>
        <v>91</v>
      </c>
      <c r="N22" s="1">
        <f t="shared" ca="1" si="3"/>
        <v>588</v>
      </c>
      <c r="O22" s="1">
        <v>800</v>
      </c>
      <c r="P22" s="3">
        <v>0.68</v>
      </c>
      <c r="Q22" s="4" t="s">
        <v>59</v>
      </c>
      <c r="R22" s="4" t="s">
        <v>60</v>
      </c>
    </row>
    <row r="23" spans="1:18" s="15" customFormat="1" ht="15.75" x14ac:dyDescent="0.25">
      <c r="A23" s="4" t="s">
        <v>127</v>
      </c>
      <c r="B23" s="2" t="s">
        <v>155</v>
      </c>
      <c r="C23" s="2" t="s">
        <v>156</v>
      </c>
      <c r="D23" s="2" t="s">
        <v>14</v>
      </c>
      <c r="E23" s="2" t="str">
        <f t="shared" si="1"/>
        <v>B</v>
      </c>
      <c r="F23" s="14">
        <f t="shared" ca="1" si="2"/>
        <v>58</v>
      </c>
      <c r="G23" s="14">
        <f t="shared" ca="1" si="0"/>
        <v>85</v>
      </c>
      <c r="H23" s="14">
        <f t="shared" ca="1" si="0"/>
        <v>67</v>
      </c>
      <c r="I23" s="14">
        <f t="shared" ca="1" si="0"/>
        <v>77</v>
      </c>
      <c r="J23" s="14">
        <f t="shared" ca="1" si="0"/>
        <v>59</v>
      </c>
      <c r="K23" s="14">
        <f t="shared" ca="1" si="0"/>
        <v>50</v>
      </c>
      <c r="L23" s="14">
        <f t="shared" ca="1" si="0"/>
        <v>46</v>
      </c>
      <c r="M23" s="14">
        <f t="shared" ca="1" si="0"/>
        <v>88</v>
      </c>
      <c r="N23" s="1">
        <f t="shared" ca="1" si="3"/>
        <v>530</v>
      </c>
      <c r="O23" s="1">
        <v>800</v>
      </c>
      <c r="P23" s="3">
        <v>0.49</v>
      </c>
      <c r="Q23" s="4" t="s">
        <v>59</v>
      </c>
      <c r="R23" s="4" t="s">
        <v>60</v>
      </c>
    </row>
    <row r="24" spans="1:18" s="15" customFormat="1" ht="15.75" x14ac:dyDescent="0.25">
      <c r="A24" s="4" t="s">
        <v>128</v>
      </c>
      <c r="B24" s="2" t="s">
        <v>157</v>
      </c>
      <c r="C24" s="2" t="s">
        <v>158</v>
      </c>
      <c r="D24" s="2" t="s">
        <v>14</v>
      </c>
      <c r="E24" s="2" t="str">
        <f t="shared" si="1"/>
        <v>B</v>
      </c>
      <c r="F24" s="14">
        <f t="shared" ca="1" si="2"/>
        <v>65</v>
      </c>
      <c r="G24" s="14">
        <f t="shared" ca="1" si="2"/>
        <v>68</v>
      </c>
      <c r="H24" s="14">
        <f t="shared" ca="1" si="2"/>
        <v>43</v>
      </c>
      <c r="I24" s="14">
        <f t="shared" ca="1" si="2"/>
        <v>40</v>
      </c>
      <c r="J24" s="14">
        <f t="shared" ca="1" si="2"/>
        <v>78</v>
      </c>
      <c r="K24" s="14">
        <f t="shared" ca="1" si="2"/>
        <v>74</v>
      </c>
      <c r="L24" s="14">
        <f t="shared" ca="1" si="2"/>
        <v>89</v>
      </c>
      <c r="M24" s="14">
        <f t="shared" ca="1" si="2"/>
        <v>86</v>
      </c>
      <c r="N24" s="1">
        <f t="shared" ca="1" si="3"/>
        <v>543</v>
      </c>
      <c r="O24" s="1">
        <v>800</v>
      </c>
      <c r="P24" s="3">
        <v>0.83</v>
      </c>
      <c r="Q24" s="4" t="s">
        <v>15</v>
      </c>
      <c r="R24" s="4" t="s">
        <v>61</v>
      </c>
    </row>
    <row r="25" spans="1:18" s="15" customFormat="1" ht="15.75" x14ac:dyDescent="0.25">
      <c r="A25" s="4" t="s">
        <v>129</v>
      </c>
      <c r="B25" s="2" t="s">
        <v>159</v>
      </c>
      <c r="C25" s="2" t="s">
        <v>160</v>
      </c>
      <c r="D25" s="2" t="s">
        <v>14</v>
      </c>
      <c r="E25" s="2" t="str">
        <f t="shared" si="1"/>
        <v>B</v>
      </c>
      <c r="F25" s="14">
        <f t="shared" ca="1" si="2"/>
        <v>56</v>
      </c>
      <c r="G25" s="14">
        <f t="shared" ca="1" si="2"/>
        <v>71</v>
      </c>
      <c r="H25" s="14">
        <f t="shared" ca="1" si="2"/>
        <v>54</v>
      </c>
      <c r="I25" s="14">
        <f t="shared" ca="1" si="2"/>
        <v>47</v>
      </c>
      <c r="J25" s="14">
        <f t="shared" ca="1" si="2"/>
        <v>47</v>
      </c>
      <c r="K25" s="14">
        <f t="shared" ca="1" si="2"/>
        <v>49</v>
      </c>
      <c r="L25" s="14">
        <f t="shared" ca="1" si="2"/>
        <v>73</v>
      </c>
      <c r="M25" s="14">
        <f t="shared" ca="1" si="2"/>
        <v>44</v>
      </c>
      <c r="N25" s="1">
        <f t="shared" ca="1" si="3"/>
        <v>441</v>
      </c>
      <c r="O25" s="1">
        <v>800</v>
      </c>
      <c r="P25" s="3">
        <v>0.98</v>
      </c>
      <c r="Q25" s="4" t="s">
        <v>15</v>
      </c>
      <c r="R25" s="4" t="s">
        <v>61</v>
      </c>
    </row>
    <row r="26" spans="1:18" s="15" customFormat="1" ht="15.75" x14ac:dyDescent="0.25">
      <c r="A26" s="4" t="s">
        <v>130</v>
      </c>
      <c r="B26" s="2" t="s">
        <v>161</v>
      </c>
      <c r="C26" s="2" t="s">
        <v>162</v>
      </c>
      <c r="D26" s="2" t="s">
        <v>14</v>
      </c>
      <c r="E26" s="2" t="str">
        <f t="shared" si="1"/>
        <v>B</v>
      </c>
      <c r="F26" s="14">
        <f t="shared" ca="1" si="2"/>
        <v>94</v>
      </c>
      <c r="G26" s="14">
        <f t="shared" ca="1" si="2"/>
        <v>45</v>
      </c>
      <c r="H26" s="14">
        <f t="shared" ca="1" si="2"/>
        <v>83</v>
      </c>
      <c r="I26" s="14">
        <f t="shared" ca="1" si="2"/>
        <v>65</v>
      </c>
      <c r="J26" s="14">
        <f t="shared" ca="1" si="2"/>
        <v>62</v>
      </c>
      <c r="K26" s="14">
        <f t="shared" ca="1" si="2"/>
        <v>45</v>
      </c>
      <c r="L26" s="14">
        <f t="shared" ca="1" si="2"/>
        <v>79</v>
      </c>
      <c r="M26" s="14">
        <f t="shared" ca="1" si="2"/>
        <v>57</v>
      </c>
      <c r="N26" s="1">
        <f t="shared" ca="1" si="3"/>
        <v>530</v>
      </c>
      <c r="O26" s="1">
        <v>800</v>
      </c>
      <c r="P26" s="3">
        <v>0.72</v>
      </c>
      <c r="Q26" s="4" t="s">
        <v>15</v>
      </c>
      <c r="R26" s="4" t="s">
        <v>62</v>
      </c>
    </row>
    <row r="27" spans="1:18" s="15" customFormat="1" ht="15.75" x14ac:dyDescent="0.25">
      <c r="A27" s="4" t="s">
        <v>131</v>
      </c>
      <c r="B27" s="2" t="s">
        <v>150</v>
      </c>
      <c r="C27" s="2" t="s">
        <v>151</v>
      </c>
      <c r="D27" s="2" t="s">
        <v>31</v>
      </c>
      <c r="E27" s="2" t="str">
        <f t="shared" si="1"/>
        <v>A</v>
      </c>
      <c r="F27" s="14">
        <f t="shared" ca="1" si="2"/>
        <v>77</v>
      </c>
      <c r="G27" s="14">
        <f t="shared" ca="1" si="2"/>
        <v>42</v>
      </c>
      <c r="H27" s="14">
        <f t="shared" ca="1" si="2"/>
        <v>47</v>
      </c>
      <c r="I27" s="14">
        <f t="shared" ca="1" si="2"/>
        <v>68</v>
      </c>
      <c r="J27" s="14">
        <f t="shared" ca="1" si="2"/>
        <v>48</v>
      </c>
      <c r="K27" s="14">
        <f t="shared" ca="1" si="2"/>
        <v>53</v>
      </c>
      <c r="L27" s="14">
        <f t="shared" ca="1" si="2"/>
        <v>90</v>
      </c>
      <c r="M27" s="14">
        <f t="shared" ca="1" si="2"/>
        <v>71</v>
      </c>
      <c r="N27" s="1">
        <f t="shared" ca="1" si="3"/>
        <v>496</v>
      </c>
      <c r="O27" s="1">
        <v>800</v>
      </c>
      <c r="P27" s="3">
        <v>0.65</v>
      </c>
      <c r="Q27" s="4" t="s">
        <v>15</v>
      </c>
      <c r="R27" s="4" t="s">
        <v>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7:R29"/>
  <sheetViews>
    <sheetView topLeftCell="A3" workbookViewId="0">
      <selection activeCell="F30" sqref="F30"/>
    </sheetView>
  </sheetViews>
  <sheetFormatPr defaultRowHeight="15" x14ac:dyDescent="0.25"/>
  <cols>
    <col min="1" max="1" width="11.85546875" customWidth="1"/>
    <col min="2" max="3" width="17.7109375" customWidth="1"/>
    <col min="4" max="13" width="11.85546875" customWidth="1"/>
    <col min="14" max="14" width="14" customWidth="1"/>
    <col min="15" max="15" width="11.85546875" customWidth="1"/>
    <col min="16" max="16" width="15" customWidth="1"/>
    <col min="17" max="18" width="11.85546875" customWidth="1"/>
  </cols>
  <sheetData>
    <row r="7" spans="1:18" s="13" customFormat="1" ht="22.5" customHeight="1" x14ac:dyDescent="0.25">
      <c r="A7" s="5" t="s">
        <v>19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16</v>
      </c>
      <c r="L7" s="5" t="s">
        <v>17</v>
      </c>
      <c r="M7" s="5" t="s">
        <v>18</v>
      </c>
      <c r="N7" s="5" t="s">
        <v>9</v>
      </c>
      <c r="O7" s="5" t="s">
        <v>10</v>
      </c>
      <c r="P7" s="5" t="s">
        <v>11</v>
      </c>
      <c r="Q7" s="5" t="s">
        <v>12</v>
      </c>
      <c r="R7" s="5" t="s">
        <v>13</v>
      </c>
    </row>
    <row r="8" spans="1:18" s="13" customFormat="1" ht="15.75" customHeight="1" x14ac:dyDescent="0.25">
      <c r="A8" s="4" t="s">
        <v>163</v>
      </c>
      <c r="B8" s="2" t="s">
        <v>196</v>
      </c>
      <c r="C8" s="2" t="s">
        <v>183</v>
      </c>
      <c r="D8" s="2" t="s">
        <v>14</v>
      </c>
      <c r="E8" s="2" t="str">
        <f>IF(D8="Female","A","B")</f>
        <v>B</v>
      </c>
      <c r="F8" s="14">
        <f ca="1">RANDBETWEEN(40,100)</f>
        <v>64</v>
      </c>
      <c r="G8" s="14">
        <f t="shared" ref="G8:M23" ca="1" si="0">RANDBETWEEN(40,100)</f>
        <v>66</v>
      </c>
      <c r="H8" s="14">
        <f t="shared" ca="1" si="0"/>
        <v>77</v>
      </c>
      <c r="I8" s="14">
        <f t="shared" ca="1" si="0"/>
        <v>61</v>
      </c>
      <c r="J8" s="14">
        <f t="shared" ca="1" si="0"/>
        <v>87</v>
      </c>
      <c r="K8" s="14">
        <f t="shared" ca="1" si="0"/>
        <v>46</v>
      </c>
      <c r="L8" s="14">
        <f t="shared" ca="1" si="0"/>
        <v>54</v>
      </c>
      <c r="M8" s="14">
        <f t="shared" ca="1" si="0"/>
        <v>60</v>
      </c>
      <c r="N8" s="1">
        <f ca="1">SUM(F8:M8)</f>
        <v>515</v>
      </c>
      <c r="O8" s="1">
        <v>800</v>
      </c>
      <c r="P8" s="3">
        <v>0.68</v>
      </c>
      <c r="Q8" s="4" t="s">
        <v>15</v>
      </c>
      <c r="R8" s="4" t="s">
        <v>60</v>
      </c>
    </row>
    <row r="9" spans="1:18" s="13" customFormat="1" ht="15.75" customHeight="1" x14ac:dyDescent="0.25">
      <c r="A9" s="4" t="s">
        <v>164</v>
      </c>
      <c r="B9" s="2" t="s">
        <v>195</v>
      </c>
      <c r="C9" s="2" t="s">
        <v>197</v>
      </c>
      <c r="D9" s="2" t="s">
        <v>14</v>
      </c>
      <c r="E9" s="2" t="str">
        <f t="shared" ref="E9:E27" si="1">IF(D9="Female","A","B")</f>
        <v>B</v>
      </c>
      <c r="F9" s="14">
        <f t="shared" ref="F9:M27" ca="1" si="2">RANDBETWEEN(40,100)</f>
        <v>100</v>
      </c>
      <c r="G9" s="14">
        <f t="shared" ca="1" si="0"/>
        <v>100</v>
      </c>
      <c r="H9" s="14">
        <f t="shared" ca="1" si="0"/>
        <v>42</v>
      </c>
      <c r="I9" s="14">
        <f t="shared" ca="1" si="0"/>
        <v>51</v>
      </c>
      <c r="J9" s="14">
        <f t="shared" ca="1" si="0"/>
        <v>80</v>
      </c>
      <c r="K9" s="14">
        <f t="shared" ca="1" si="0"/>
        <v>64</v>
      </c>
      <c r="L9" s="14">
        <f t="shared" ca="1" si="0"/>
        <v>77</v>
      </c>
      <c r="M9" s="14">
        <f t="shared" ca="1" si="0"/>
        <v>47</v>
      </c>
      <c r="N9" s="1">
        <f t="shared" ref="N9:N27" ca="1" si="3">SUM(F9:M9)</f>
        <v>561</v>
      </c>
      <c r="O9" s="1">
        <v>800</v>
      </c>
      <c r="P9" s="3">
        <v>0.8</v>
      </c>
      <c r="Q9" s="4" t="s">
        <v>15</v>
      </c>
      <c r="R9" s="4" t="s">
        <v>60</v>
      </c>
    </row>
    <row r="10" spans="1:18" s="13" customFormat="1" ht="15.75" customHeight="1" x14ac:dyDescent="0.25">
      <c r="A10" s="4" t="s">
        <v>165</v>
      </c>
      <c r="B10" s="2" t="s">
        <v>184</v>
      </c>
      <c r="C10" s="2" t="s">
        <v>185</v>
      </c>
      <c r="D10" s="2" t="s">
        <v>14</v>
      </c>
      <c r="E10" s="2" t="str">
        <f t="shared" si="1"/>
        <v>B</v>
      </c>
      <c r="F10" s="14">
        <f t="shared" ca="1" si="2"/>
        <v>74</v>
      </c>
      <c r="G10" s="14">
        <f t="shared" ca="1" si="0"/>
        <v>55</v>
      </c>
      <c r="H10" s="14">
        <f t="shared" ca="1" si="0"/>
        <v>91</v>
      </c>
      <c r="I10" s="14">
        <f t="shared" ca="1" si="0"/>
        <v>55</v>
      </c>
      <c r="J10" s="14">
        <f t="shared" ca="1" si="0"/>
        <v>96</v>
      </c>
      <c r="K10" s="14">
        <f t="shared" ca="1" si="0"/>
        <v>42</v>
      </c>
      <c r="L10" s="14">
        <f t="shared" ca="1" si="0"/>
        <v>93</v>
      </c>
      <c r="M10" s="14">
        <f t="shared" ca="1" si="0"/>
        <v>62</v>
      </c>
      <c r="N10" s="1">
        <f t="shared" ca="1" si="3"/>
        <v>568</v>
      </c>
      <c r="O10" s="1">
        <v>800</v>
      </c>
      <c r="P10" s="3">
        <v>0.85</v>
      </c>
      <c r="Q10" s="4" t="s">
        <v>15</v>
      </c>
      <c r="R10" s="4" t="s">
        <v>60</v>
      </c>
    </row>
    <row r="11" spans="1:18" s="13" customFormat="1" ht="15.75" customHeight="1" x14ac:dyDescent="0.25">
      <c r="A11" s="4" t="s">
        <v>166</v>
      </c>
      <c r="B11" s="2" t="s">
        <v>198</v>
      </c>
      <c r="C11" s="2" t="s">
        <v>186</v>
      </c>
      <c r="D11" s="2" t="s">
        <v>14</v>
      </c>
      <c r="E11" s="2" t="str">
        <f t="shared" si="1"/>
        <v>B</v>
      </c>
      <c r="F11" s="14">
        <f t="shared" ca="1" si="2"/>
        <v>87</v>
      </c>
      <c r="G11" s="14">
        <f t="shared" ca="1" si="0"/>
        <v>79</v>
      </c>
      <c r="H11" s="14">
        <f t="shared" ca="1" si="0"/>
        <v>96</v>
      </c>
      <c r="I11" s="14">
        <f t="shared" ca="1" si="0"/>
        <v>56</v>
      </c>
      <c r="J11" s="14">
        <f t="shared" ca="1" si="0"/>
        <v>84</v>
      </c>
      <c r="K11" s="14">
        <f t="shared" ca="1" si="0"/>
        <v>59</v>
      </c>
      <c r="L11" s="14">
        <f t="shared" ca="1" si="0"/>
        <v>95</v>
      </c>
      <c r="M11" s="14">
        <f t="shared" ca="1" si="0"/>
        <v>62</v>
      </c>
      <c r="N11" s="1">
        <f t="shared" ca="1" si="3"/>
        <v>618</v>
      </c>
      <c r="O11" s="1">
        <v>800</v>
      </c>
      <c r="P11" s="3">
        <v>0.7</v>
      </c>
      <c r="Q11" s="4" t="s">
        <v>15</v>
      </c>
      <c r="R11" s="4" t="s">
        <v>60</v>
      </c>
    </row>
    <row r="12" spans="1:18" s="13" customFormat="1" ht="15.75" customHeight="1" x14ac:dyDescent="0.25">
      <c r="A12" s="4" t="s">
        <v>167</v>
      </c>
      <c r="B12" s="2" t="s">
        <v>187</v>
      </c>
      <c r="C12" s="2" t="s">
        <v>188</v>
      </c>
      <c r="D12" s="2" t="s">
        <v>14</v>
      </c>
      <c r="E12" s="2" t="str">
        <f t="shared" si="1"/>
        <v>B</v>
      </c>
      <c r="F12" s="14">
        <f t="shared" ca="1" si="2"/>
        <v>89</v>
      </c>
      <c r="G12" s="14">
        <f t="shared" ca="1" si="0"/>
        <v>98</v>
      </c>
      <c r="H12" s="14">
        <f t="shared" ca="1" si="0"/>
        <v>49</v>
      </c>
      <c r="I12" s="14">
        <f t="shared" ca="1" si="0"/>
        <v>44</v>
      </c>
      <c r="J12" s="14">
        <f t="shared" ca="1" si="0"/>
        <v>93</v>
      </c>
      <c r="K12" s="14">
        <f t="shared" ca="1" si="0"/>
        <v>87</v>
      </c>
      <c r="L12" s="14">
        <f t="shared" ca="1" si="0"/>
        <v>88</v>
      </c>
      <c r="M12" s="14">
        <f t="shared" ca="1" si="0"/>
        <v>51</v>
      </c>
      <c r="N12" s="1">
        <f t="shared" ca="1" si="3"/>
        <v>599</v>
      </c>
      <c r="O12" s="1">
        <v>800</v>
      </c>
      <c r="P12" s="3">
        <v>0.65</v>
      </c>
      <c r="Q12" s="4" t="s">
        <v>15</v>
      </c>
      <c r="R12" s="4" t="s">
        <v>60</v>
      </c>
    </row>
    <row r="13" spans="1:18" s="13" customFormat="1" ht="15.75" customHeight="1" x14ac:dyDescent="0.25">
      <c r="A13" s="4" t="s">
        <v>168</v>
      </c>
      <c r="B13" s="2" t="s">
        <v>189</v>
      </c>
      <c r="C13" s="2" t="s">
        <v>190</v>
      </c>
      <c r="D13" s="2" t="s">
        <v>14</v>
      </c>
      <c r="E13" s="2" t="str">
        <f t="shared" si="1"/>
        <v>B</v>
      </c>
      <c r="F13" s="14">
        <f t="shared" ca="1" si="2"/>
        <v>68</v>
      </c>
      <c r="G13" s="14">
        <f t="shared" ca="1" si="0"/>
        <v>99</v>
      </c>
      <c r="H13" s="14">
        <f t="shared" ca="1" si="0"/>
        <v>86</v>
      </c>
      <c r="I13" s="14">
        <f t="shared" ca="1" si="0"/>
        <v>66</v>
      </c>
      <c r="J13" s="14">
        <f t="shared" ca="1" si="0"/>
        <v>86</v>
      </c>
      <c r="K13" s="14">
        <f t="shared" ca="1" si="0"/>
        <v>56</v>
      </c>
      <c r="L13" s="14">
        <f t="shared" ca="1" si="0"/>
        <v>100</v>
      </c>
      <c r="M13" s="14">
        <f t="shared" ca="1" si="0"/>
        <v>49</v>
      </c>
      <c r="N13" s="1">
        <f t="shared" ca="1" si="3"/>
        <v>610</v>
      </c>
      <c r="O13" s="1">
        <v>800</v>
      </c>
      <c r="P13" s="3">
        <v>0.8</v>
      </c>
      <c r="Q13" s="4" t="s">
        <v>59</v>
      </c>
      <c r="R13" s="4" t="s">
        <v>61</v>
      </c>
    </row>
    <row r="14" spans="1:18" s="13" customFormat="1" ht="15.75" customHeight="1" x14ac:dyDescent="0.25">
      <c r="A14" s="4" t="s">
        <v>169</v>
      </c>
      <c r="B14" s="2" t="s">
        <v>191</v>
      </c>
      <c r="C14" s="2" t="s">
        <v>192</v>
      </c>
      <c r="D14" s="2" t="s">
        <v>14</v>
      </c>
      <c r="E14" s="2" t="str">
        <f t="shared" si="1"/>
        <v>B</v>
      </c>
      <c r="F14" s="14">
        <f t="shared" ca="1" si="2"/>
        <v>53</v>
      </c>
      <c r="G14" s="14">
        <f t="shared" ca="1" si="0"/>
        <v>51</v>
      </c>
      <c r="H14" s="14">
        <f t="shared" ca="1" si="0"/>
        <v>48</v>
      </c>
      <c r="I14" s="14">
        <f t="shared" ca="1" si="0"/>
        <v>57</v>
      </c>
      <c r="J14" s="14">
        <f t="shared" ca="1" si="0"/>
        <v>80</v>
      </c>
      <c r="K14" s="14">
        <f t="shared" ca="1" si="0"/>
        <v>97</v>
      </c>
      <c r="L14" s="14">
        <f t="shared" ca="1" si="0"/>
        <v>91</v>
      </c>
      <c r="M14" s="14">
        <f t="shared" ca="1" si="0"/>
        <v>49</v>
      </c>
      <c r="N14" s="1">
        <f t="shared" ca="1" si="3"/>
        <v>526</v>
      </c>
      <c r="O14" s="1">
        <v>800</v>
      </c>
      <c r="P14" s="3">
        <v>0.89</v>
      </c>
      <c r="Q14" s="4" t="s">
        <v>59</v>
      </c>
      <c r="R14" s="4" t="s">
        <v>61</v>
      </c>
    </row>
    <row r="15" spans="1:18" s="13" customFormat="1" ht="15.75" customHeight="1" x14ac:dyDescent="0.25">
      <c r="A15" s="4" t="s">
        <v>170</v>
      </c>
      <c r="B15" s="2" t="s">
        <v>193</v>
      </c>
      <c r="C15" s="2" t="s">
        <v>194</v>
      </c>
      <c r="D15" s="2" t="s">
        <v>14</v>
      </c>
      <c r="E15" s="2" t="str">
        <f t="shared" si="1"/>
        <v>B</v>
      </c>
      <c r="F15" s="14">
        <f t="shared" ca="1" si="2"/>
        <v>79</v>
      </c>
      <c r="G15" s="14">
        <f t="shared" ca="1" si="0"/>
        <v>90</v>
      </c>
      <c r="H15" s="14">
        <f t="shared" ca="1" si="0"/>
        <v>67</v>
      </c>
      <c r="I15" s="14">
        <f t="shared" ca="1" si="0"/>
        <v>75</v>
      </c>
      <c r="J15" s="14">
        <f t="shared" ca="1" si="0"/>
        <v>43</v>
      </c>
      <c r="K15" s="14">
        <f t="shared" ca="1" si="0"/>
        <v>68</v>
      </c>
      <c r="L15" s="14">
        <f t="shared" ca="1" si="0"/>
        <v>86</v>
      </c>
      <c r="M15" s="14">
        <f t="shared" ca="1" si="0"/>
        <v>60</v>
      </c>
      <c r="N15" s="1">
        <f t="shared" ca="1" si="3"/>
        <v>568</v>
      </c>
      <c r="O15" s="1">
        <v>800</v>
      </c>
      <c r="P15" s="3">
        <v>0.61</v>
      </c>
      <c r="Q15" s="4" t="s">
        <v>59</v>
      </c>
      <c r="R15" s="4" t="s">
        <v>62</v>
      </c>
    </row>
    <row r="16" spans="1:18" s="13" customFormat="1" ht="15.75" customHeight="1" x14ac:dyDescent="0.25">
      <c r="A16" s="4" t="s">
        <v>171</v>
      </c>
      <c r="B16" s="2" t="s">
        <v>199</v>
      </c>
      <c r="C16" s="2" t="s">
        <v>200</v>
      </c>
      <c r="D16" s="2" t="s">
        <v>31</v>
      </c>
      <c r="E16" s="2" t="str">
        <f t="shared" si="1"/>
        <v>A</v>
      </c>
      <c r="F16" s="14">
        <f t="shared" ca="1" si="2"/>
        <v>42</v>
      </c>
      <c r="G16" s="14">
        <f t="shared" ca="1" si="0"/>
        <v>55</v>
      </c>
      <c r="H16" s="14">
        <f t="shared" ca="1" si="0"/>
        <v>60</v>
      </c>
      <c r="I16" s="14">
        <f t="shared" ca="1" si="0"/>
        <v>83</v>
      </c>
      <c r="J16" s="14">
        <f t="shared" ca="1" si="0"/>
        <v>98</v>
      </c>
      <c r="K16" s="14">
        <f t="shared" ca="1" si="0"/>
        <v>94</v>
      </c>
      <c r="L16" s="14">
        <f t="shared" ca="1" si="0"/>
        <v>71</v>
      </c>
      <c r="M16" s="14">
        <f t="shared" ca="1" si="0"/>
        <v>41</v>
      </c>
      <c r="N16" s="1">
        <f t="shared" ca="1" si="3"/>
        <v>544</v>
      </c>
      <c r="O16" s="1">
        <v>800</v>
      </c>
      <c r="P16" s="3">
        <v>0.63</v>
      </c>
      <c r="Q16" s="4" t="s">
        <v>59</v>
      </c>
      <c r="R16" s="4" t="s">
        <v>62</v>
      </c>
    </row>
    <row r="17" spans="1:18" s="13" customFormat="1" ht="15.75" customHeight="1" x14ac:dyDescent="0.25">
      <c r="A17" s="4" t="s">
        <v>172</v>
      </c>
      <c r="B17" s="2" t="s">
        <v>201</v>
      </c>
      <c r="C17" s="2" t="s">
        <v>202</v>
      </c>
      <c r="D17" s="2" t="s">
        <v>31</v>
      </c>
      <c r="E17" s="2" t="str">
        <f t="shared" si="1"/>
        <v>A</v>
      </c>
      <c r="F17" s="14">
        <f t="shared" ca="1" si="2"/>
        <v>62</v>
      </c>
      <c r="G17" s="14">
        <f t="shared" ca="1" si="0"/>
        <v>48</v>
      </c>
      <c r="H17" s="14">
        <f t="shared" ca="1" si="0"/>
        <v>80</v>
      </c>
      <c r="I17" s="14">
        <f t="shared" ca="1" si="0"/>
        <v>56</v>
      </c>
      <c r="J17" s="14">
        <f t="shared" ca="1" si="0"/>
        <v>88</v>
      </c>
      <c r="K17" s="14">
        <f t="shared" ca="1" si="0"/>
        <v>46</v>
      </c>
      <c r="L17" s="14">
        <f t="shared" ca="1" si="0"/>
        <v>49</v>
      </c>
      <c r="M17" s="14">
        <f t="shared" ca="1" si="0"/>
        <v>53</v>
      </c>
      <c r="N17" s="1">
        <f t="shared" ca="1" si="3"/>
        <v>482</v>
      </c>
      <c r="O17" s="1">
        <v>800</v>
      </c>
      <c r="P17" s="3">
        <v>0.48</v>
      </c>
      <c r="Q17" s="4" t="s">
        <v>59</v>
      </c>
      <c r="R17" s="4" t="s">
        <v>62</v>
      </c>
    </row>
    <row r="18" spans="1:18" s="13" customFormat="1" ht="15.75" customHeight="1" x14ac:dyDescent="0.25">
      <c r="A18" s="4" t="s">
        <v>173</v>
      </c>
      <c r="B18" s="2" t="s">
        <v>203</v>
      </c>
      <c r="C18" s="2" t="s">
        <v>204</v>
      </c>
      <c r="D18" s="2" t="s">
        <v>31</v>
      </c>
      <c r="E18" s="2" t="str">
        <f t="shared" si="1"/>
        <v>A</v>
      </c>
      <c r="F18" s="14">
        <f t="shared" ca="1" si="2"/>
        <v>69</v>
      </c>
      <c r="G18" s="14">
        <f t="shared" ca="1" si="0"/>
        <v>44</v>
      </c>
      <c r="H18" s="14">
        <f t="shared" ca="1" si="0"/>
        <v>69</v>
      </c>
      <c r="I18" s="14">
        <f t="shared" ca="1" si="0"/>
        <v>55</v>
      </c>
      <c r="J18" s="14">
        <f t="shared" ca="1" si="0"/>
        <v>67</v>
      </c>
      <c r="K18" s="14">
        <f t="shared" ca="1" si="0"/>
        <v>70</v>
      </c>
      <c r="L18" s="14">
        <f t="shared" ca="1" si="0"/>
        <v>99</v>
      </c>
      <c r="M18" s="14">
        <f t="shared" ca="1" si="0"/>
        <v>60</v>
      </c>
      <c r="N18" s="1">
        <f t="shared" ca="1" si="3"/>
        <v>533</v>
      </c>
      <c r="O18" s="1">
        <v>800</v>
      </c>
      <c r="P18" s="3">
        <v>0.59</v>
      </c>
      <c r="Q18" s="4" t="s">
        <v>59</v>
      </c>
      <c r="R18" s="4" t="s">
        <v>62</v>
      </c>
    </row>
    <row r="19" spans="1:18" s="13" customFormat="1" ht="15.75" customHeight="1" x14ac:dyDescent="0.25">
      <c r="A19" s="4" t="s">
        <v>174</v>
      </c>
      <c r="B19" s="2" t="s">
        <v>205</v>
      </c>
      <c r="C19" s="2" t="s">
        <v>206</v>
      </c>
      <c r="D19" s="2" t="s">
        <v>31</v>
      </c>
      <c r="E19" s="2" t="str">
        <f t="shared" si="1"/>
        <v>A</v>
      </c>
      <c r="F19" s="14">
        <f t="shared" ca="1" si="2"/>
        <v>76</v>
      </c>
      <c r="G19" s="14">
        <f t="shared" ca="1" si="0"/>
        <v>60</v>
      </c>
      <c r="H19" s="14">
        <f t="shared" ca="1" si="0"/>
        <v>44</v>
      </c>
      <c r="I19" s="14">
        <f t="shared" ca="1" si="0"/>
        <v>68</v>
      </c>
      <c r="J19" s="14">
        <f t="shared" ca="1" si="0"/>
        <v>56</v>
      </c>
      <c r="K19" s="14">
        <f t="shared" ca="1" si="0"/>
        <v>61</v>
      </c>
      <c r="L19" s="14">
        <f t="shared" ca="1" si="0"/>
        <v>67</v>
      </c>
      <c r="M19" s="14">
        <f t="shared" ca="1" si="0"/>
        <v>52</v>
      </c>
      <c r="N19" s="1">
        <f t="shared" ca="1" si="3"/>
        <v>484</v>
      </c>
      <c r="O19" s="1">
        <v>800</v>
      </c>
      <c r="P19" s="3">
        <v>0.45</v>
      </c>
      <c r="Q19" s="4" t="s">
        <v>59</v>
      </c>
      <c r="R19" s="4" t="s">
        <v>61</v>
      </c>
    </row>
    <row r="20" spans="1:18" s="13" customFormat="1" ht="15.75" customHeight="1" x14ac:dyDescent="0.25">
      <c r="A20" s="4" t="s">
        <v>175</v>
      </c>
      <c r="B20" s="2" t="s">
        <v>207</v>
      </c>
      <c r="C20" s="2" t="s">
        <v>208</v>
      </c>
      <c r="D20" s="2" t="s">
        <v>31</v>
      </c>
      <c r="E20" s="2" t="str">
        <f t="shared" si="1"/>
        <v>A</v>
      </c>
      <c r="F20" s="14">
        <f t="shared" ca="1" si="2"/>
        <v>66</v>
      </c>
      <c r="G20" s="14">
        <f t="shared" ca="1" si="0"/>
        <v>91</v>
      </c>
      <c r="H20" s="14">
        <f t="shared" ca="1" si="0"/>
        <v>56</v>
      </c>
      <c r="I20" s="14">
        <f t="shared" ca="1" si="0"/>
        <v>77</v>
      </c>
      <c r="J20" s="14">
        <f t="shared" ca="1" si="0"/>
        <v>58</v>
      </c>
      <c r="K20" s="14">
        <f t="shared" ca="1" si="0"/>
        <v>50</v>
      </c>
      <c r="L20" s="14">
        <f t="shared" ca="1" si="0"/>
        <v>53</v>
      </c>
      <c r="M20" s="14">
        <f t="shared" ca="1" si="0"/>
        <v>89</v>
      </c>
      <c r="N20" s="1">
        <f t="shared" ca="1" si="3"/>
        <v>540</v>
      </c>
      <c r="O20" s="1">
        <v>800</v>
      </c>
      <c r="P20" s="3">
        <v>0.75</v>
      </c>
      <c r="Q20" s="4" t="s">
        <v>59</v>
      </c>
      <c r="R20" s="4" t="s">
        <v>61</v>
      </c>
    </row>
    <row r="21" spans="1:18" s="13" customFormat="1" ht="15.75" customHeight="1" x14ac:dyDescent="0.25">
      <c r="A21" s="4" t="s">
        <v>176</v>
      </c>
      <c r="B21" s="2" t="s">
        <v>209</v>
      </c>
      <c r="C21" s="2" t="s">
        <v>210</v>
      </c>
      <c r="D21" s="2" t="s">
        <v>31</v>
      </c>
      <c r="E21" s="2" t="str">
        <f t="shared" si="1"/>
        <v>A</v>
      </c>
      <c r="F21" s="14">
        <f t="shared" ca="1" si="2"/>
        <v>84</v>
      </c>
      <c r="G21" s="14">
        <f t="shared" ca="1" si="0"/>
        <v>63</v>
      </c>
      <c r="H21" s="14">
        <f t="shared" ca="1" si="0"/>
        <v>84</v>
      </c>
      <c r="I21" s="14">
        <f t="shared" ca="1" si="0"/>
        <v>95</v>
      </c>
      <c r="J21" s="14">
        <f t="shared" ca="1" si="0"/>
        <v>90</v>
      </c>
      <c r="K21" s="14">
        <f t="shared" ca="1" si="0"/>
        <v>62</v>
      </c>
      <c r="L21" s="14">
        <f t="shared" ca="1" si="0"/>
        <v>80</v>
      </c>
      <c r="M21" s="14">
        <f t="shared" ca="1" si="0"/>
        <v>58</v>
      </c>
      <c r="N21" s="1">
        <f t="shared" ca="1" si="3"/>
        <v>616</v>
      </c>
      <c r="O21" s="1">
        <v>800</v>
      </c>
      <c r="P21" s="3">
        <v>0.72</v>
      </c>
      <c r="Q21" s="4" t="s">
        <v>59</v>
      </c>
      <c r="R21" s="4" t="s">
        <v>61</v>
      </c>
    </row>
    <row r="22" spans="1:18" s="13" customFormat="1" ht="15.75" customHeight="1" x14ac:dyDescent="0.25">
      <c r="A22" s="4" t="s">
        <v>177</v>
      </c>
      <c r="B22" s="2" t="s">
        <v>211</v>
      </c>
      <c r="C22" s="2" t="s">
        <v>212</v>
      </c>
      <c r="D22" s="2" t="s">
        <v>31</v>
      </c>
      <c r="E22" s="2" t="str">
        <f t="shared" si="1"/>
        <v>A</v>
      </c>
      <c r="F22" s="14">
        <f t="shared" ca="1" si="2"/>
        <v>100</v>
      </c>
      <c r="G22" s="14">
        <f t="shared" ca="1" si="0"/>
        <v>96</v>
      </c>
      <c r="H22" s="14">
        <f t="shared" ca="1" si="0"/>
        <v>98</v>
      </c>
      <c r="I22" s="14">
        <f t="shared" ca="1" si="0"/>
        <v>82</v>
      </c>
      <c r="J22" s="14">
        <f t="shared" ca="1" si="0"/>
        <v>98</v>
      </c>
      <c r="K22" s="14">
        <f t="shared" ca="1" si="0"/>
        <v>98</v>
      </c>
      <c r="L22" s="14">
        <f t="shared" ca="1" si="0"/>
        <v>99</v>
      </c>
      <c r="M22" s="14">
        <f t="shared" ca="1" si="0"/>
        <v>85</v>
      </c>
      <c r="N22" s="1">
        <f t="shared" ca="1" si="3"/>
        <v>756</v>
      </c>
      <c r="O22" s="1">
        <v>800</v>
      </c>
      <c r="P22" s="3">
        <v>0.68</v>
      </c>
      <c r="Q22" s="4" t="s">
        <v>59</v>
      </c>
      <c r="R22" s="4" t="s">
        <v>60</v>
      </c>
    </row>
    <row r="23" spans="1:18" s="13" customFormat="1" ht="15.75" customHeight="1" x14ac:dyDescent="0.25">
      <c r="A23" s="4" t="s">
        <v>178</v>
      </c>
      <c r="B23" s="2" t="s">
        <v>213</v>
      </c>
      <c r="C23" s="2" t="s">
        <v>214</v>
      </c>
      <c r="D23" s="2" t="s">
        <v>31</v>
      </c>
      <c r="E23" s="2" t="str">
        <f t="shared" si="1"/>
        <v>A</v>
      </c>
      <c r="F23" s="14">
        <f t="shared" ca="1" si="2"/>
        <v>83</v>
      </c>
      <c r="G23" s="14">
        <f t="shared" ca="1" si="0"/>
        <v>94</v>
      </c>
      <c r="H23" s="14">
        <f t="shared" ca="1" si="0"/>
        <v>86</v>
      </c>
      <c r="I23" s="14">
        <f t="shared" ca="1" si="0"/>
        <v>72</v>
      </c>
      <c r="J23" s="14">
        <f t="shared" ca="1" si="0"/>
        <v>83</v>
      </c>
      <c r="K23" s="14">
        <f t="shared" ca="1" si="0"/>
        <v>51</v>
      </c>
      <c r="L23" s="14">
        <f t="shared" ca="1" si="0"/>
        <v>78</v>
      </c>
      <c r="M23" s="14">
        <f t="shared" ca="1" si="0"/>
        <v>59</v>
      </c>
      <c r="N23" s="1">
        <f t="shared" ca="1" si="3"/>
        <v>606</v>
      </c>
      <c r="O23" s="1">
        <v>800</v>
      </c>
      <c r="P23" s="3">
        <v>0.49</v>
      </c>
      <c r="Q23" s="4" t="s">
        <v>59</v>
      </c>
      <c r="R23" s="4" t="s">
        <v>60</v>
      </c>
    </row>
    <row r="24" spans="1:18" s="13" customFormat="1" ht="15.75" customHeight="1" x14ac:dyDescent="0.25">
      <c r="A24" s="4" t="s">
        <v>179</v>
      </c>
      <c r="B24" s="2" t="s">
        <v>215</v>
      </c>
      <c r="C24" s="2" t="s">
        <v>216</v>
      </c>
      <c r="D24" s="2" t="s">
        <v>31</v>
      </c>
      <c r="E24" s="2" t="str">
        <f t="shared" si="1"/>
        <v>A</v>
      </c>
      <c r="F24" s="14">
        <f t="shared" ca="1" si="2"/>
        <v>86</v>
      </c>
      <c r="G24" s="14">
        <f t="shared" ca="1" si="2"/>
        <v>71</v>
      </c>
      <c r="H24" s="14">
        <f t="shared" ca="1" si="2"/>
        <v>83</v>
      </c>
      <c r="I24" s="14">
        <f t="shared" ca="1" si="2"/>
        <v>77</v>
      </c>
      <c r="J24" s="14">
        <f t="shared" ca="1" si="2"/>
        <v>99</v>
      </c>
      <c r="K24" s="14">
        <f t="shared" ca="1" si="2"/>
        <v>61</v>
      </c>
      <c r="L24" s="14">
        <f t="shared" ca="1" si="2"/>
        <v>42</v>
      </c>
      <c r="M24" s="14">
        <f t="shared" ca="1" si="2"/>
        <v>60</v>
      </c>
      <c r="N24" s="1">
        <f t="shared" ca="1" si="3"/>
        <v>579</v>
      </c>
      <c r="O24" s="1">
        <v>800</v>
      </c>
      <c r="P24" s="3">
        <v>0.83</v>
      </c>
      <c r="Q24" s="4" t="s">
        <v>15</v>
      </c>
      <c r="R24" s="4" t="s">
        <v>61</v>
      </c>
    </row>
    <row r="25" spans="1:18" s="13" customFormat="1" ht="15.75" customHeight="1" x14ac:dyDescent="0.25">
      <c r="A25" s="4" t="s">
        <v>180</v>
      </c>
      <c r="B25" s="2" t="s">
        <v>217</v>
      </c>
      <c r="C25" s="2" t="s">
        <v>218</v>
      </c>
      <c r="D25" s="2" t="s">
        <v>31</v>
      </c>
      <c r="E25" s="2" t="str">
        <f t="shared" si="1"/>
        <v>A</v>
      </c>
      <c r="F25" s="14">
        <f t="shared" ca="1" si="2"/>
        <v>63</v>
      </c>
      <c r="G25" s="14">
        <f t="shared" ca="1" si="2"/>
        <v>84</v>
      </c>
      <c r="H25" s="14">
        <f t="shared" ca="1" si="2"/>
        <v>82</v>
      </c>
      <c r="I25" s="14">
        <f t="shared" ca="1" si="2"/>
        <v>46</v>
      </c>
      <c r="J25" s="14">
        <f t="shared" ca="1" si="2"/>
        <v>86</v>
      </c>
      <c r="K25" s="14">
        <f t="shared" ca="1" si="2"/>
        <v>42</v>
      </c>
      <c r="L25" s="14">
        <f t="shared" ca="1" si="2"/>
        <v>99</v>
      </c>
      <c r="M25" s="14">
        <f t="shared" ca="1" si="2"/>
        <v>63</v>
      </c>
      <c r="N25" s="1">
        <f t="shared" ca="1" si="3"/>
        <v>565</v>
      </c>
      <c r="O25" s="1">
        <v>800</v>
      </c>
      <c r="P25" s="3">
        <v>0.98</v>
      </c>
      <c r="Q25" s="4" t="s">
        <v>15</v>
      </c>
      <c r="R25" s="4" t="s">
        <v>61</v>
      </c>
    </row>
    <row r="26" spans="1:18" s="13" customFormat="1" ht="15.75" customHeight="1" x14ac:dyDescent="0.25">
      <c r="A26" s="4" t="s">
        <v>181</v>
      </c>
      <c r="B26" s="2" t="s">
        <v>219</v>
      </c>
      <c r="C26" s="2" t="s">
        <v>220</v>
      </c>
      <c r="D26" s="2" t="s">
        <v>14</v>
      </c>
      <c r="E26" s="2" t="str">
        <f t="shared" si="1"/>
        <v>B</v>
      </c>
      <c r="F26" s="14">
        <f t="shared" ca="1" si="2"/>
        <v>49</v>
      </c>
      <c r="G26" s="14">
        <f t="shared" ca="1" si="2"/>
        <v>78</v>
      </c>
      <c r="H26" s="14">
        <f t="shared" ca="1" si="2"/>
        <v>96</v>
      </c>
      <c r="I26" s="14">
        <f t="shared" ca="1" si="2"/>
        <v>54</v>
      </c>
      <c r="J26" s="14">
        <f t="shared" ca="1" si="2"/>
        <v>88</v>
      </c>
      <c r="K26" s="14">
        <f t="shared" ca="1" si="2"/>
        <v>53</v>
      </c>
      <c r="L26" s="14">
        <f t="shared" ca="1" si="2"/>
        <v>52</v>
      </c>
      <c r="M26" s="14">
        <f t="shared" ca="1" si="2"/>
        <v>89</v>
      </c>
      <c r="N26" s="1">
        <f t="shared" ca="1" si="3"/>
        <v>559</v>
      </c>
      <c r="O26" s="1">
        <v>800</v>
      </c>
      <c r="P26" s="3">
        <v>0.72</v>
      </c>
      <c r="Q26" s="4" t="s">
        <v>15</v>
      </c>
      <c r="R26" s="4" t="s">
        <v>62</v>
      </c>
    </row>
    <row r="27" spans="1:18" s="13" customFormat="1" ht="15.75" customHeight="1" x14ac:dyDescent="0.25">
      <c r="A27" s="4" t="s">
        <v>182</v>
      </c>
      <c r="B27" s="2" t="s">
        <v>221</v>
      </c>
      <c r="C27" s="2" t="s">
        <v>222</v>
      </c>
      <c r="D27" s="2" t="s">
        <v>14</v>
      </c>
      <c r="E27" s="2" t="str">
        <f t="shared" si="1"/>
        <v>B</v>
      </c>
      <c r="F27" s="14">
        <f t="shared" ca="1" si="2"/>
        <v>64</v>
      </c>
      <c r="G27" s="14">
        <f t="shared" ca="1" si="2"/>
        <v>73</v>
      </c>
      <c r="H27" s="14">
        <f t="shared" ca="1" si="2"/>
        <v>85</v>
      </c>
      <c r="I27" s="14">
        <f t="shared" ca="1" si="2"/>
        <v>56</v>
      </c>
      <c r="J27" s="14">
        <f t="shared" ca="1" si="2"/>
        <v>48</v>
      </c>
      <c r="K27" s="14">
        <f t="shared" ca="1" si="2"/>
        <v>50</v>
      </c>
      <c r="L27" s="14">
        <f t="shared" ca="1" si="2"/>
        <v>79</v>
      </c>
      <c r="M27" s="14">
        <f t="shared" ca="1" si="2"/>
        <v>64</v>
      </c>
      <c r="N27" s="1">
        <f t="shared" ca="1" si="3"/>
        <v>519</v>
      </c>
      <c r="O27" s="1">
        <v>800</v>
      </c>
      <c r="P27" s="3">
        <v>0.65</v>
      </c>
      <c r="Q27" s="4" t="s">
        <v>15</v>
      </c>
      <c r="R27" s="4" t="s">
        <v>62</v>
      </c>
    </row>
    <row r="29" spans="1:18" x14ac:dyDescent="0.25">
      <c r="D29" s="19"/>
      <c r="E29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GradeIII</vt:lpstr>
      <vt:lpstr>GradeIV</vt:lpstr>
      <vt:lpstr>GradeV</vt:lpstr>
      <vt:lpstr>GradeVI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10</dc:creator>
  <cp:lastModifiedBy>USER 10</cp:lastModifiedBy>
  <dcterms:created xsi:type="dcterms:W3CDTF">2026-06-29T08:12:52Z</dcterms:created>
  <dcterms:modified xsi:type="dcterms:W3CDTF">2026-07-20T05:07:20Z</dcterms:modified>
</cp:coreProperties>
</file>